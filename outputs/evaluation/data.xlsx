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Pick and Place" sheetId="2" r:id="rId5"/>
    <sheet state="visible" name="밸브 조작" sheetId="3" r:id="rId6"/>
    <sheet state="visible" name="Pouring" sheetId="4" r:id="rId7"/>
  </sheets>
  <definedNames/>
  <calcPr/>
  <extLst>
    <ext uri="GoogleSheetsCustomDataVersion2">
      <go:sheetsCustomData xmlns:go="http://customooxmlschemas.google.com/" r:id="rId8" roundtripDataChecksum="rIHPMMMLJlGoUqWU8I9QkaqlILvLNt89HMUBp9HWh3k="/>
    </ext>
  </extLst>
</workbook>
</file>

<file path=xl/sharedStrings.xml><?xml version="1.0" encoding="utf-8"?>
<sst xmlns="http://schemas.openxmlformats.org/spreadsheetml/2006/main" count="483" uniqueCount="117">
  <si>
    <t>VLA 모델 평가 — Raw Data  [Pick and Place]</t>
  </si>
  <si>
    <t>VLA 모델 평가 — Raw Data  [밸브 조작]</t>
  </si>
  <si>
    <t>VLA 모델 평가 — Raw Data  [Pouring]</t>
  </si>
  <si>
    <t>평가 기준  |  40초 내 완료: 2점  ·  작업 성공: 4점  ·  2회 연속 성공: 4점  ·  총점: 10점  |  각 셀은 TRUE / FALSE 드롭다운에서 선택</t>
  </si>
  <si>
    <t>평가 기준  |  60초 내 완료: 2점  ·  작업 성공: 4점  ·  2회 연속 성공: 4점  ·  총점: 10점  |  각 셀은 TRUE / FALSE 드롭다운에서 선택</t>
  </si>
  <si>
    <t>VLA 모델 평가 — 요약 (5회 시도 평균 · 표준편차 · 변동계수)</t>
  </si>
  <si>
    <t>모델</t>
  </si>
  <si>
    <t>데이터세트 크기</t>
  </si>
  <si>
    <t>시도 횟수</t>
  </si>
  <si>
    <t>180초 내 완료</t>
  </si>
  <si>
    <t>작업 성공</t>
  </si>
  <si>
    <t>각 조건(작업 × 모델 × 데이터세트)별 5회 시도 총 점수의 평균·표준편차·변동계수(CV = 표준편차 / 평균). 점수 범위: 0 – 10점.  평균이 0일 때는 CV가 정의되지 않아 '-'로 표시됩니다.  학습시간 (h) 열은 사용자 입력용 (모델 × 데이터세트별).</t>
  </si>
  <si>
    <t>2회 연속 성공</t>
  </si>
  <si>
    <t>총 점수</t>
  </si>
  <si>
    <t>비고</t>
  </si>
  <si>
    <t>ACT</t>
  </si>
  <si>
    <t>1회차</t>
  </si>
  <si>
    <t>■  작업 1 — Pick and Place</t>
  </si>
  <si>
    <t>병을 떨어트림</t>
  </si>
  <si>
    <t>2회차</t>
  </si>
  <si>
    <t>데이터세트 50</t>
  </si>
  <si>
    <t>병을 못 집음 x2</t>
  </si>
  <si>
    <t>3회차</t>
  </si>
  <si>
    <t>살짝 돌릴때 버벅이는 것 같음</t>
  </si>
  <si>
    <t>데이터세트 100</t>
  </si>
  <si>
    <t>아예 못 집음 2</t>
  </si>
  <si>
    <t xml:space="preserve">아슬아슬하게넣음, </t>
  </si>
  <si>
    <t>데이터세트 200</t>
  </si>
  <si>
    <t>4회차</t>
  </si>
  <si>
    <t>학습시간 (h)</t>
  </si>
  <si>
    <t>아예 못 집음, 병을 반납 못함</t>
  </si>
  <si>
    <t>5회차</t>
  </si>
  <si>
    <t>밸브를 잘 못 집고 꺽음</t>
  </si>
  <si>
    <t xml:space="preserve"> 병을 반납 못함, 아예 못 집음</t>
  </si>
  <si>
    <t>평균</t>
  </si>
  <si>
    <t>표준편차</t>
  </si>
  <si>
    <t>변동계수 (CV)</t>
  </si>
  <si>
    <t>DS 50</t>
  </si>
  <si>
    <t>중간에 병을 떨어트림</t>
  </si>
  <si>
    <t>DS 100</t>
  </si>
  <si>
    <t>DS 150</t>
  </si>
  <si>
    <t>병을 집기만 함, 병을 반납 못함</t>
  </si>
  <si>
    <t>좀 부딪히면서 감, 중간에 병을 떨어트림</t>
  </si>
  <si>
    <t>중간에 좀 멈춰있었음</t>
  </si>
  <si>
    <t xml:space="preserve">아슬아슬하게넣음, 중간에 병을 떨어트림, </t>
  </si>
  <si>
    <t>밸브를 찍음, 모터 부하로 로봇 재시가함</t>
  </si>
  <si>
    <t>시작에 머뭇거리고 병을 못 뺌, 아예 못 집음</t>
  </si>
  <si>
    <t>갑자기 원점으로 돌아감 2</t>
  </si>
  <si>
    <t>갑자기 원점으로 돌아감, 병을 못 뺌,</t>
  </si>
  <si>
    <t>병을 못 집음. 갑자기 원점으로 돌아감</t>
  </si>
  <si>
    <t>병을 못 듬 2</t>
  </si>
  <si>
    <t>Pi0</t>
  </si>
  <si>
    <t>병을 못 듬 걱정되도 인내심 가져야함</t>
  </si>
  <si>
    <t>전반적으로 밸브를 더 잘 돌리는 듯 함</t>
  </si>
  <si>
    <t>보정해서 성공함</t>
  </si>
  <si>
    <t>갑자기 잘함!</t>
  </si>
  <si>
    <t>무효1번: 카메라선 손상, 깔때기 방해가 있어도 정상 수행함</t>
  </si>
  <si>
    <t>병을 못 넘</t>
  </si>
  <si>
    <t>병을 놓고 멈칫히다가 성공함, 병을 끓어서 성공함</t>
  </si>
  <si>
    <t>Pi0.5</t>
  </si>
  <si>
    <t>병을 못 집음 병을 놓침</t>
  </si>
  <si>
    <t>무효 1번, 모델이 이미 밸브가 돌아가 있음을 인지함, 밸브 위치를 잘 못 인식함</t>
  </si>
  <si>
    <t xml:space="preserve">무효 한 번 있음: 이미 목적지에 병이 있어 아예 작동 안했음. 병을 떨어트림. </t>
  </si>
  <si>
    <t>병을 부딧혔지만 성공함</t>
  </si>
  <si>
    <t>병을 못 집음 2</t>
  </si>
  <si>
    <t>밸브 위치를 잘 못 인식함 * 2</t>
  </si>
  <si>
    <t>원점으로 돌아감, 집었지만 못 부음</t>
  </si>
  <si>
    <t>병을 못넘</t>
  </si>
  <si>
    <t>다 못 부음 병을 못 집음</t>
  </si>
  <si>
    <t>병을 다시 집으려했지만 실패함</t>
  </si>
  <si>
    <t>병을 못 이동시킴</t>
  </si>
  <si>
    <t>밸브를 찍음</t>
  </si>
  <si>
    <t>다  못 부음, 중간에 걸림</t>
  </si>
  <si>
    <t>병을 잘 못 집음</t>
  </si>
  <si>
    <t>중간에 복귀함, 다 부었지만 계속 부음</t>
  </si>
  <si>
    <t>■  작업 2 — Pouring</t>
  </si>
  <si>
    <t>병을 못 집음, 중간에 복귀함</t>
  </si>
  <si>
    <t>밸브 근처에서 머뭇거림 * 2</t>
  </si>
  <si>
    <t>병을 못넘 2</t>
  </si>
  <si>
    <t>다 부었지만 계속 부어 복귀 못함, 병을 못 넣음</t>
  </si>
  <si>
    <t>밸브 근처에서 머뭇거림</t>
  </si>
  <si>
    <t xml:space="preserve">무효 1번, 다 부었지만 계속 부음, </t>
  </si>
  <si>
    <t>그리퍼를 못 닫음</t>
  </si>
  <si>
    <t>병을 못 집음</t>
  </si>
  <si>
    <t>병을 집으려고 하지만 못 잡음 * 2</t>
  </si>
  <si>
    <t>병을 좀 세게넘, 병을 반납 못함</t>
  </si>
  <si>
    <t>병을 반납 못함, 다 부었지만 계속 부어 복귀 못함</t>
  </si>
  <si>
    <t>아예 진동만함  * 2</t>
  </si>
  <si>
    <t>모션이 튐  *2</t>
  </si>
  <si>
    <t>병을 놓침, 병을 밈</t>
  </si>
  <si>
    <t>밸브를 못 잡음 * 2</t>
  </si>
  <si>
    <t>주변을 침  병을 누름</t>
  </si>
  <si>
    <t>노파심에 카메라 재부팅함.  밸브를 못 잡음 * 2</t>
  </si>
  <si>
    <t>병을 누름 병을 못 잡음</t>
  </si>
  <si>
    <t>아예 진동만함 * 2</t>
  </si>
  <si>
    <t>지금 부터 녹화함 ㅠ, 병을 누름 원점으로돌아가다 병을 찍음</t>
  </si>
  <si>
    <t xml:space="preserve"> 병을 어예 못 잡음 2</t>
  </si>
  <si>
    <t xml:space="preserve">간신히 넣음 밸브를 찍음 </t>
  </si>
  <si>
    <t>처음보는 테크닉을 집음. 근데 성공 못함., 병을 집지만 들진 못함</t>
  </si>
  <si>
    <t>■  작업 3 — 밸브 조작</t>
  </si>
  <si>
    <t>병을 세게임,  병을 집었지만 못 놓았음</t>
  </si>
  <si>
    <t>약간 로봇이 들려서 수리함 모션이 튀면서 안됨 * 2</t>
  </si>
  <si>
    <t xml:space="preserve">병을 밈, </t>
  </si>
  <si>
    <t>밸브를 찍음, 모션이 튐</t>
  </si>
  <si>
    <t>병을 가져다가 다시넘, 병을 못 집음</t>
  </si>
  <si>
    <t>혹시몰라 재부팅 해봤는데도 여전함 모션이 튐 * 2</t>
  </si>
  <si>
    <t>병을 밈, 병을 아예  못 잡음</t>
  </si>
  <si>
    <t>병을 복귀하다가 떨어트림, 병을 못 잡음</t>
  </si>
  <si>
    <t xml:space="preserve">무효1 복사하다가 실수로 정지함. </t>
  </si>
  <si>
    <t>병을 못 잡음 2</t>
  </si>
  <si>
    <t>병을 못 넘, 무효 1반, 병을 못 집음</t>
  </si>
  <si>
    <t>병을 못 잡음 병을 놓침</t>
  </si>
  <si>
    <t>■  한눈에 보기 — 평균 ± 표준편차 (CV)</t>
  </si>
  <si>
    <t>작업</t>
  </si>
  <si>
    <t>Pick and Place</t>
  </si>
  <si>
    <t>Pouring</t>
  </si>
  <si>
    <t>밸브 조작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</si>
</sst>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Malgun Gothic"/>
    </font>
    <font/>
    <font>
      <b/>
      <sz val="16.0"/>
      <color rgb="FFFFFFFF"/>
      <name val="Calibri"/>
    </font>
    <font>
      <i/>
      <sz val="10.0"/>
      <color rgb="FF595959"/>
      <name val="Verdana"/>
    </font>
    <font>
      <sz val="10.0"/>
      <color rgb="FF595959"/>
      <name val="Calibri"/>
    </font>
    <font>
      <b/>
      <sz val="10.0"/>
      <color theme="1"/>
      <name val="Verdana"/>
    </font>
    <font>
      <b/>
      <sz val="10.0"/>
      <color theme="1"/>
      <name val="Calibri"/>
    </font>
    <font>
      <b/>
      <sz val="10.0"/>
      <color theme="1"/>
      <name val="Arial"/>
    </font>
    <font>
      <b/>
      <sz val="10.0"/>
      <color theme="1"/>
      <name val="Malgun Gothic"/>
    </font>
    <font>
      <sz val="10.0"/>
      <color theme="1"/>
      <name val="Calibri"/>
    </font>
    <font>
      <b/>
      <sz val="12.0"/>
      <color rgb="FFFFFFFF"/>
      <name val="Calibri"/>
    </font>
    <font>
      <b/>
      <sz val="9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DDEBF7"/>
        <bgColor rgb="FFDDEBF7"/>
      </patternFill>
    </fill>
    <fill>
      <patternFill patternType="solid">
        <fgColor rgb="FFDEEBF7"/>
        <bgColor rgb="FFDEEBF7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9DC3E6"/>
        <bgColor rgb="FF9DC3E6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FBE5D6"/>
        <bgColor rgb="FFFBE5D6"/>
      </patternFill>
    </fill>
    <fill>
      <patternFill patternType="solid">
        <fgColor rgb="FFC6E0B4"/>
        <bgColor rgb="FFC6E0B4"/>
      </patternFill>
    </fill>
    <fill>
      <patternFill patternType="solid">
        <fgColor rgb="FFF4B183"/>
        <bgColor rgb="FFF4B183"/>
      </patternFill>
    </fill>
    <fill>
      <patternFill patternType="solid">
        <fgColor rgb="FFE2EFDA"/>
        <bgColor rgb="FFE2EFDA"/>
      </patternFill>
    </fill>
    <fill>
      <patternFill patternType="solid">
        <fgColor rgb="FFA9D08E"/>
        <bgColor rgb="FFA9D08E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1" fillId="2" fontId="4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4" fillId="3" fontId="7" numFmtId="0" xfId="0" applyAlignment="1" applyBorder="1" applyFill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3" fontId="9" numFmtId="0" xfId="0" applyAlignment="1" applyBorder="1" applyFont="1">
      <alignment horizontal="center" readingOrder="0" shrinkToFit="0" vertical="center" wrapText="1"/>
    </xf>
    <xf borderId="4" fillId="3" fontId="10" numFmtId="0" xfId="0" applyAlignment="1" applyBorder="1" applyFont="1">
      <alignment horizontal="center" readingOrder="0" shrinkToFit="0" vertical="center" wrapText="1"/>
    </xf>
    <xf borderId="4" fillId="3" fontId="8" numFmtId="0" xfId="0" applyAlignment="1" applyBorder="1" applyFont="1">
      <alignment horizontal="center" readingOrder="0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4" fillId="4" fontId="10" numFmtId="0" xfId="0" applyAlignment="1" applyBorder="1" applyFill="1" applyFon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readingOrder="0" shrinkToFit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ill="1" applyFont="1">
      <alignment horizontal="left" shrinkToFit="0" vertical="center" wrapText="1"/>
    </xf>
    <xf borderId="4" fillId="4" fontId="10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ont="1">
      <alignment horizontal="left" readingOrder="0" shrinkToFit="0" vertical="center" wrapText="1"/>
    </xf>
    <xf borderId="4" fillId="4" fontId="1" numFmtId="0" xfId="0" applyAlignment="1" applyBorder="1" applyFont="1">
      <alignment horizontal="left" shrinkToFit="0" vertical="center" wrapText="1"/>
    </xf>
    <xf borderId="5" fillId="6" fontId="8" numFmtId="0" xfId="0" applyAlignment="1" applyBorder="1" applyFill="1" applyFont="1">
      <alignment horizontal="center" shrinkToFit="0" vertical="center" wrapText="1"/>
    </xf>
    <xf borderId="6" fillId="6" fontId="8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4" fillId="4" fontId="11" numFmtId="0" xfId="0" applyAlignment="1" applyBorder="1" applyFont="1">
      <alignment horizontal="left" readingOrder="0" shrinkToFit="0" vertical="center" wrapText="1"/>
    </xf>
    <xf borderId="6" fillId="6" fontId="8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4" fillId="7" fontId="10" numFmtId="0" xfId="0" applyAlignment="1" applyBorder="1" applyFill="1" applyFont="1">
      <alignment horizontal="center" shrinkToFit="0" vertical="center" wrapText="1"/>
    </xf>
    <xf borderId="4" fillId="6" fontId="13" numFmtId="0" xfId="0" applyAlignment="1" applyBorder="1" applyFont="1">
      <alignment horizontal="center" shrinkToFit="0" vertical="center" wrapText="1"/>
    </xf>
    <xf borderId="4" fillId="7" fontId="1" numFmtId="0" xfId="0" applyAlignment="1" applyBorder="1" applyFont="1">
      <alignment horizontal="center" readingOrder="0" shrinkToFit="0" vertical="center" wrapText="1"/>
    </xf>
    <xf borderId="4" fillId="7" fontId="10" numFmtId="0" xfId="0" applyAlignment="1" applyBorder="1" applyFont="1">
      <alignment horizontal="center" readingOrder="0" shrinkToFit="0" vertical="center" wrapText="1"/>
    </xf>
    <xf borderId="4" fillId="7" fontId="1" numFmtId="0" xfId="0" applyAlignment="1" applyBorder="1" applyFont="1">
      <alignment horizontal="left" shrinkToFit="0" vertical="center" wrapText="1"/>
    </xf>
    <xf borderId="4" fillId="7" fontId="1" numFmtId="0" xfId="0" applyAlignment="1" applyBorder="1" applyFont="1">
      <alignment horizontal="left" readingOrder="0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4" fillId="7" fontId="11" numFmtId="0" xfId="0" applyAlignment="1" applyBorder="1" applyFont="1">
      <alignment horizontal="center" readingOrder="0" shrinkToFit="0" vertical="center" wrapText="1"/>
    </xf>
    <xf borderId="4" fillId="7" fontId="8" numFmtId="0" xfId="0" applyAlignment="1" applyBorder="1" applyFont="1">
      <alignment horizontal="center" readingOrder="0" shrinkToFit="0" vertical="center" wrapText="1"/>
    </xf>
    <xf borderId="4" fillId="7" fontId="11" numFmtId="0" xfId="0" applyAlignment="1" applyBorder="1" applyFont="1">
      <alignment horizontal="left" readingOrder="0" shrinkToFit="0" vertical="center" wrapText="1"/>
    </xf>
    <xf borderId="4" fillId="0" fontId="1" numFmtId="2" xfId="0" applyAlignment="1" applyBorder="1" applyFont="1" applyNumberFormat="1">
      <alignment horizontal="center" shrinkToFit="0" vertical="center" wrapText="1"/>
    </xf>
    <xf borderId="4" fillId="8" fontId="10" numFmtId="0" xfId="0" applyAlignment="1" applyBorder="1" applyFill="1" applyFont="1">
      <alignment horizontal="center" shrinkToFit="0" vertical="center" wrapText="1"/>
    </xf>
    <xf borderId="4" fillId="8" fontId="10" numFmtId="0" xfId="0" applyAlignment="1" applyBorder="1" applyFont="1">
      <alignment horizontal="center" readingOrder="0" shrinkToFit="0" vertical="center" wrapText="1"/>
    </xf>
    <xf borderId="4" fillId="8" fontId="1" numFmtId="0" xfId="0" applyAlignment="1" applyBorder="1" applyFont="1">
      <alignment horizontal="center" readingOrder="0" shrinkToFit="0" vertical="center" wrapText="1"/>
    </xf>
    <xf borderId="4" fillId="0" fontId="1" numFmtId="164" xfId="0" applyAlignment="1" applyBorder="1" applyFont="1" applyNumberFormat="1">
      <alignment horizontal="center" shrinkToFit="0" vertical="center" wrapText="1"/>
    </xf>
    <xf borderId="4" fillId="8" fontId="1" numFmtId="0" xfId="0" applyAlignment="1" applyBorder="1" applyFont="1">
      <alignment horizontal="left" shrinkToFit="0" vertical="center" wrapText="1"/>
    </xf>
    <xf borderId="4" fillId="8" fontId="1" numFmtId="0" xfId="0" applyAlignment="1" applyBorder="1" applyFont="1">
      <alignment horizontal="left" readingOrder="0" shrinkToFit="0" vertical="center" wrapText="1"/>
    </xf>
    <xf borderId="4" fillId="8" fontId="8" numFmtId="0" xfId="0" applyAlignment="1" applyBorder="1" applyFont="1">
      <alignment horizontal="center" shrinkToFit="0" vertical="center" wrapText="1"/>
    </xf>
    <xf borderId="4" fillId="8" fontId="8" numFmtId="0" xfId="0" applyAlignment="1" applyBorder="1" applyFont="1">
      <alignment horizontal="center" readingOrder="0" shrinkToFit="0" vertical="center" wrapText="1"/>
    </xf>
    <xf borderId="4" fillId="8" fontId="11" numFmtId="0" xfId="0" applyAlignment="1" applyBorder="1" applyFont="1">
      <alignment horizontal="center" readingOrder="0" shrinkToFit="0" vertical="center" wrapText="1"/>
    </xf>
    <xf borderId="4" fillId="9" fontId="1" numFmtId="165" xfId="0" applyAlignment="1" applyBorder="1" applyFill="1" applyFont="1" applyNumberFormat="1">
      <alignment horizontal="center" shrinkToFit="0" vertical="center" wrapText="1"/>
    </xf>
    <xf borderId="4" fillId="8" fontId="11" numFmtId="0" xfId="0" applyAlignment="1" applyBorder="1" applyFont="1">
      <alignment horizontal="left" readingOrder="0" shrinkToFit="0" vertical="center" wrapText="1"/>
    </xf>
    <xf borderId="4" fillId="10" fontId="8" numFmtId="0" xfId="0" applyAlignment="1" applyBorder="1" applyFill="1" applyFont="1">
      <alignment horizontal="center" shrinkToFit="0" vertical="center" wrapText="1"/>
    </xf>
    <xf borderId="4" fillId="11" fontId="10" numFmtId="0" xfId="0" applyAlignment="1" applyBorder="1" applyFill="1" applyFont="1">
      <alignment horizontal="center" shrinkToFit="0" vertical="center" wrapText="1"/>
    </xf>
    <xf borderId="4" fillId="11" fontId="1" numFmtId="0" xfId="0" applyAlignment="1" applyBorder="1" applyFont="1">
      <alignment horizontal="center" readingOrder="0" shrinkToFit="0" vertical="center" wrapText="1"/>
    </xf>
    <xf borderId="4" fillId="11" fontId="10" numFmtId="0" xfId="0" applyAlignment="1" applyBorder="1" applyFont="1">
      <alignment horizontal="center" readingOrder="0" shrinkToFit="0" vertical="center" wrapText="1"/>
    </xf>
    <xf borderId="4" fillId="11" fontId="1" numFmtId="0" xfId="0" applyAlignment="1" applyBorder="1" applyFont="1">
      <alignment horizontal="left" readingOrder="0" shrinkToFit="0" vertical="center" wrapText="1"/>
    </xf>
    <xf borderId="4" fillId="11" fontId="1" numFmtId="0" xfId="0" applyAlignment="1" applyBorder="1" applyFont="1">
      <alignment horizontal="left" shrinkToFit="0" vertical="center" wrapText="1"/>
    </xf>
    <xf borderId="4" fillId="11" fontId="8" numFmtId="0" xfId="0" applyAlignment="1" applyBorder="1" applyFont="1">
      <alignment horizontal="center" shrinkToFit="0" vertical="center" wrapText="1"/>
    </xf>
    <xf borderId="4" fillId="11" fontId="11" numFmtId="0" xfId="0" applyAlignment="1" applyBorder="1" applyFont="1">
      <alignment horizontal="center" readingOrder="0" shrinkToFit="0" vertical="center" wrapText="1"/>
    </xf>
    <xf borderId="4" fillId="12" fontId="8" numFmtId="0" xfId="0" applyAlignment="1" applyBorder="1" applyFill="1" applyFont="1">
      <alignment horizontal="center" shrinkToFit="0" vertical="center" wrapText="1"/>
    </xf>
    <xf borderId="4" fillId="11" fontId="11" numFmtId="0" xfId="0" applyAlignment="1" applyBorder="1" applyFont="1">
      <alignment horizontal="left" readingOrder="0" shrinkToFit="0" vertical="center" wrapText="1"/>
    </xf>
    <xf borderId="4" fillId="10" fontId="10" numFmtId="0" xfId="0" applyAlignment="1" applyBorder="1" applyFont="1">
      <alignment horizontal="center" shrinkToFit="0" vertical="center" wrapText="1"/>
    </xf>
    <xf borderId="4" fillId="10" fontId="1" numFmtId="0" xfId="0" applyAlignment="1" applyBorder="1" applyFont="1">
      <alignment horizontal="center" readingOrder="0" shrinkToFit="0" vertical="center" wrapText="1"/>
    </xf>
    <xf borderId="4" fillId="10" fontId="10" numFmtId="0" xfId="0" applyAlignment="1" applyBorder="1" applyFont="1">
      <alignment horizontal="center" readingOrder="0" shrinkToFit="0" vertical="center" wrapText="1"/>
    </xf>
    <xf borderId="4" fillId="10" fontId="1" numFmtId="0" xfId="0" applyAlignment="1" applyBorder="1" applyFont="1">
      <alignment horizontal="left" readingOrder="0" shrinkToFit="0" vertical="center" wrapText="1"/>
    </xf>
    <xf borderId="4" fillId="10" fontId="1" numFmtId="0" xfId="0" applyAlignment="1" applyBorder="1" applyFont="1">
      <alignment horizontal="left" shrinkToFit="0" vertical="center" wrapText="1"/>
    </xf>
    <xf borderId="4" fillId="10" fontId="11" numFmtId="0" xfId="0" applyAlignment="1" applyBorder="1" applyFont="1">
      <alignment horizontal="center" readingOrder="0" shrinkToFit="0" vertical="center" wrapText="1"/>
    </xf>
    <xf borderId="4" fillId="10" fontId="11" numFmtId="0" xfId="0" applyAlignment="1" applyBorder="1" applyFont="1">
      <alignment horizontal="left" readingOrder="0" shrinkToFit="0" vertical="center" wrapText="1"/>
    </xf>
    <xf borderId="4" fillId="13" fontId="10" numFmtId="0" xfId="0" applyAlignment="1" applyBorder="1" applyFill="1" applyFont="1">
      <alignment horizontal="center" shrinkToFit="0" vertical="center" wrapText="1"/>
    </xf>
    <xf borderId="4" fillId="13" fontId="10" numFmtId="0" xfId="0" applyAlignment="1" applyBorder="1" applyFont="1">
      <alignment horizontal="center" readingOrder="0" shrinkToFit="0" vertical="center" wrapText="1"/>
    </xf>
    <xf borderId="4" fillId="13" fontId="1" numFmtId="0" xfId="0" applyAlignment="1" applyBorder="1" applyFont="1">
      <alignment horizontal="center" readingOrder="0" shrinkToFit="0" vertical="center" wrapText="1"/>
    </xf>
    <xf borderId="4" fillId="13" fontId="1" numFmtId="0" xfId="0" applyAlignment="1" applyBorder="1" applyFont="1">
      <alignment horizontal="left" readingOrder="0" shrinkToFit="0" vertical="center" wrapText="1"/>
    </xf>
    <xf borderId="4" fillId="10" fontId="8" numFmtId="0" xfId="0" applyAlignment="1" applyBorder="1" applyFont="1">
      <alignment horizontal="center" readingOrder="0" shrinkToFit="0" vertical="center" wrapText="1"/>
    </xf>
    <xf borderId="4" fillId="13" fontId="8" numFmtId="0" xfId="0" applyAlignment="1" applyBorder="1" applyFont="1">
      <alignment horizontal="center" shrinkToFit="0" vertical="center" wrapText="1"/>
    </xf>
    <xf borderId="4" fillId="13" fontId="8" numFmtId="0" xfId="0" applyAlignment="1" applyBorder="1" applyFont="1">
      <alignment horizontal="center" readingOrder="0" shrinkToFit="0" vertical="center" wrapText="1"/>
    </xf>
    <xf borderId="4" fillId="13" fontId="11" numFmtId="0" xfId="0" applyAlignment="1" applyBorder="1" applyFont="1">
      <alignment horizontal="center" readingOrder="0" shrinkToFit="0" vertical="center" wrapText="1"/>
    </xf>
    <xf borderId="4" fillId="13" fontId="1" numFmtId="0" xfId="0" applyAlignment="1" applyBorder="1" applyFont="1">
      <alignment horizontal="left" shrinkToFit="0" vertical="center" wrapText="1"/>
    </xf>
    <xf borderId="4" fillId="13" fontId="11" numFmtId="0" xfId="0" applyAlignment="1" applyBorder="1" applyFont="1">
      <alignment horizontal="left" readingOrder="0" shrinkToFit="0" vertical="center" wrapText="1"/>
    </xf>
    <xf borderId="4" fillId="14" fontId="10" numFmtId="0" xfId="0" applyAlignment="1" applyBorder="1" applyFill="1" applyFont="1">
      <alignment horizontal="center" shrinkToFit="0" vertical="center" wrapText="1"/>
    </xf>
    <xf borderId="4" fillId="13" fontId="11" numFmtId="0" xfId="0" applyAlignment="1" applyBorder="1" applyFont="1">
      <alignment horizontal="left" shrinkToFit="0" vertical="center" wrapText="1"/>
    </xf>
    <xf borderId="4" fillId="14" fontId="1" numFmtId="0" xfId="0" applyAlignment="1" applyBorder="1" applyFont="1">
      <alignment horizontal="center" readingOrder="0" shrinkToFit="0" vertical="center" wrapText="1"/>
    </xf>
    <xf borderId="4" fillId="14" fontId="1" numFmtId="0" xfId="0" applyAlignment="1" applyBorder="1" applyFont="1">
      <alignment horizontal="left" readingOrder="0" shrinkToFit="0" vertical="center" wrapText="1"/>
    </xf>
    <xf borderId="4" fillId="12" fontId="10" numFmtId="0" xfId="0" applyAlignment="1" applyBorder="1" applyFont="1">
      <alignment horizontal="center" shrinkToFit="0" vertical="center" wrapText="1"/>
    </xf>
    <xf borderId="4" fillId="14" fontId="8" numFmtId="0" xfId="0" applyAlignment="1" applyBorder="1" applyFont="1">
      <alignment horizontal="center" shrinkToFit="0" vertical="center" wrapText="1"/>
    </xf>
    <xf borderId="4" fillId="12" fontId="1" numFmtId="0" xfId="0" applyAlignment="1" applyBorder="1" applyFont="1">
      <alignment horizontal="center" readingOrder="0" shrinkToFit="0" vertical="center" wrapText="1"/>
    </xf>
    <xf borderId="4" fillId="14" fontId="11" numFmtId="0" xfId="0" applyAlignment="1" applyBorder="1" applyFont="1">
      <alignment horizontal="center" readingOrder="0" shrinkToFit="0" vertical="center" wrapText="1"/>
    </xf>
    <xf borderId="4" fillId="12" fontId="1" numFmtId="0" xfId="0" applyAlignment="1" applyBorder="1" applyFont="1">
      <alignment horizontal="left" readingOrder="0" shrinkToFit="0" vertical="center" wrapText="1"/>
    </xf>
    <xf borderId="4" fillId="14" fontId="11" numFmtId="0" xfId="0" applyAlignment="1" applyBorder="1" applyFont="1">
      <alignment horizontal="left" readingOrder="0" shrinkToFit="0" vertical="center" wrapText="1"/>
    </xf>
    <xf borderId="4" fillId="15" fontId="10" numFmtId="0" xfId="0" applyAlignment="1" applyBorder="1" applyFill="1" applyFont="1">
      <alignment horizontal="center" shrinkToFit="0" vertical="center" wrapText="1"/>
    </xf>
    <xf borderId="4" fillId="15" fontId="10" numFmtId="0" xfId="0" applyAlignment="1" applyBorder="1" applyFont="1">
      <alignment horizontal="center" readingOrder="0" shrinkToFit="0" vertical="center" wrapText="1"/>
    </xf>
    <xf borderId="4" fillId="15" fontId="1" numFmtId="0" xfId="0" applyAlignment="1" applyBorder="1" applyFont="1">
      <alignment horizontal="center" readingOrder="0" shrinkToFit="0" vertical="center" wrapText="1"/>
    </xf>
    <xf borderId="4" fillId="15" fontId="1" numFmtId="0" xfId="0" applyAlignment="1" applyBorder="1" applyFont="1">
      <alignment horizontal="left" readingOrder="0" shrinkToFit="0" vertical="center" wrapText="1"/>
    </xf>
    <xf borderId="4" fillId="12" fontId="10" numFmtId="0" xfId="0" applyAlignment="1" applyBorder="1" applyFont="1">
      <alignment horizontal="center" readingOrder="0" shrinkToFit="0" vertical="center" wrapText="1"/>
    </xf>
    <xf borderId="4" fillId="12" fontId="1" numFmtId="0" xfId="0" applyAlignment="1" applyBorder="1" applyFont="1">
      <alignment horizontal="left" shrinkToFit="0" vertical="center" wrapText="1"/>
    </xf>
    <xf borderId="0" fillId="0" fontId="1" numFmtId="2" xfId="0" applyFont="1" applyNumberFormat="1"/>
    <xf borderId="4" fillId="12" fontId="11" numFmtId="0" xfId="0" applyAlignment="1" applyBorder="1" applyFont="1">
      <alignment horizontal="center" readingOrder="0" shrinkToFit="0" vertical="center" wrapText="1"/>
    </xf>
    <xf borderId="0" fillId="0" fontId="1" numFmtId="164" xfId="0" applyFont="1" applyNumberFormat="1"/>
    <xf borderId="4" fillId="12" fontId="11" numFmtId="0" xfId="0" applyAlignment="1" applyBorder="1" applyFont="1">
      <alignment horizontal="left" readingOrder="0" shrinkToFit="0" vertical="center" wrapText="1"/>
    </xf>
    <xf borderId="4" fillId="15" fontId="8" numFmtId="0" xfId="0" applyAlignment="1" applyBorder="1" applyFont="1">
      <alignment horizontal="center" shrinkToFit="0" vertical="center" wrapText="1"/>
    </xf>
    <xf borderId="4" fillId="15" fontId="1" numFmtId="0" xfId="0" applyAlignment="1" applyBorder="1" applyFont="1">
      <alignment horizontal="left" shrinkToFit="0" vertical="center" wrapText="1"/>
    </xf>
    <xf borderId="4" fillId="15" fontId="8" numFmtId="0" xfId="0" applyAlignment="1" applyBorder="1" applyFont="1">
      <alignment horizontal="center" readingOrder="0" shrinkToFit="0" vertical="center" wrapText="1"/>
    </xf>
    <xf borderId="4" fillId="15" fontId="11" numFmtId="0" xfId="0" applyAlignment="1" applyBorder="1" applyFont="1">
      <alignment horizontal="center" readingOrder="0" shrinkToFit="0" vertical="center" wrapText="1"/>
    </xf>
    <xf borderId="4" fillId="15" fontId="11" numFmtId="0" xfId="0" applyAlignment="1" applyBorder="1" applyFont="1">
      <alignment horizontal="left" readingOrder="0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1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12.0"/>
    <col customWidth="1" min="4" max="4" width="23.86"/>
    <col customWidth="1" min="5" max="5" width="18.43"/>
    <col customWidth="1" min="6" max="6" width="24.57"/>
    <col customWidth="1" min="7" max="11" width="12.0"/>
    <col customWidth="1" min="12" max="14" width="10.0"/>
    <col customWidth="1" min="15" max="20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30.0" customHeight="1">
      <c r="A2" s="1"/>
      <c r="B2" s="4" t="s">
        <v>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5"/>
      <c r="O2" s="1"/>
      <c r="P2" s="1"/>
      <c r="Q2" s="1"/>
      <c r="R2" s="1"/>
      <c r="S2" s="1"/>
      <c r="T2" s="1"/>
    </row>
    <row r="3" ht="30.0" customHeight="1">
      <c r="A3" s="1"/>
      <c r="B3" s="7" t="s">
        <v>11</v>
      </c>
      <c r="O3" s="1"/>
      <c r="P3" s="1"/>
      <c r="Q3" s="1"/>
      <c r="R3" s="1"/>
      <c r="S3" s="1"/>
      <c r="T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21.75" customHeight="1">
      <c r="A5" s="1"/>
      <c r="B5" s="18" t="s">
        <v>17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5"/>
      <c r="O5" s="1"/>
      <c r="P5" s="1"/>
      <c r="Q5" s="1"/>
      <c r="R5" s="1"/>
      <c r="S5" s="1"/>
      <c r="T5" s="1"/>
    </row>
    <row r="6" ht="21.75" customHeight="1">
      <c r="A6" s="1"/>
      <c r="B6" s="22" t="s">
        <v>6</v>
      </c>
      <c r="C6" s="23" t="s">
        <v>20</v>
      </c>
      <c r="D6" s="24"/>
      <c r="E6" s="25"/>
      <c r="F6" s="23" t="s">
        <v>24</v>
      </c>
      <c r="G6" s="24"/>
      <c r="H6" s="25"/>
      <c r="I6" s="27" t="s">
        <v>27</v>
      </c>
      <c r="J6" s="24"/>
      <c r="K6" s="25"/>
      <c r="L6" s="23" t="s">
        <v>29</v>
      </c>
      <c r="M6" s="24"/>
      <c r="N6" s="25"/>
      <c r="O6" s="1"/>
      <c r="P6" s="1"/>
      <c r="Q6" s="1"/>
      <c r="R6" s="1"/>
      <c r="S6" s="1"/>
      <c r="T6" s="1"/>
    </row>
    <row r="7" ht="19.5" customHeight="1">
      <c r="A7" s="1"/>
      <c r="B7" s="29"/>
      <c r="C7" s="31" t="s">
        <v>34</v>
      </c>
      <c r="D7" s="31" t="s">
        <v>35</v>
      </c>
      <c r="E7" s="31" t="s">
        <v>36</v>
      </c>
      <c r="F7" s="31" t="s">
        <v>34</v>
      </c>
      <c r="G7" s="31" t="s">
        <v>35</v>
      </c>
      <c r="H7" s="31" t="s">
        <v>36</v>
      </c>
      <c r="I7" s="31" t="s">
        <v>34</v>
      </c>
      <c r="J7" s="31" t="s">
        <v>35</v>
      </c>
      <c r="K7" s="31" t="s">
        <v>36</v>
      </c>
      <c r="L7" s="31" t="s">
        <v>37</v>
      </c>
      <c r="M7" s="31" t="s">
        <v>39</v>
      </c>
      <c r="N7" s="31" t="s">
        <v>40</v>
      </c>
      <c r="O7" s="1"/>
      <c r="P7" s="1"/>
      <c r="Q7" s="1"/>
      <c r="R7" s="1"/>
      <c r="S7" s="1"/>
      <c r="T7" s="1"/>
    </row>
    <row r="8" ht="18.0" customHeight="1">
      <c r="A8" s="1"/>
      <c r="B8" s="36" t="s">
        <v>15</v>
      </c>
      <c r="C8" s="40">
        <f>AVERAGE('Pick and Place'!H6:H10)</f>
        <v>7.2</v>
      </c>
      <c r="D8" s="40">
        <f>STDEV('Pick and Place'!H6:H10)</f>
        <v>4.38178046</v>
      </c>
      <c r="E8" s="44">
        <f t="shared" ref="E8:E10" si="1">IF(C8=0,"-",D8/C8)</f>
        <v>0.6085806195</v>
      </c>
      <c r="F8" s="40">
        <f>AVERAGE('Pick and Place'!H11:H15)</f>
        <v>6.8</v>
      </c>
      <c r="G8" s="40">
        <f>STDEV('Pick and Place'!H11:H15)</f>
        <v>1.788854382</v>
      </c>
      <c r="H8" s="44">
        <f t="shared" ref="H8:H10" si="2">IF(F8=0,"-",G8/F8)</f>
        <v>0.2630668209</v>
      </c>
      <c r="I8" s="40">
        <f>AVERAGE('Pick and Place'!H16:H20)</f>
        <v>8.4</v>
      </c>
      <c r="J8" s="40">
        <f>STDEV('Pick and Place'!H16:H20)</f>
        <v>2.19089023</v>
      </c>
      <c r="K8" s="44">
        <f t="shared" ref="K8:K10" si="3">IF(I8=0,"-",J8/I8)</f>
        <v>0.2608202655</v>
      </c>
      <c r="L8" s="50"/>
      <c r="M8" s="50"/>
      <c r="N8" s="50"/>
      <c r="O8" s="1"/>
      <c r="P8" s="1"/>
      <c r="Q8" s="1"/>
      <c r="R8" s="1"/>
      <c r="S8" s="1"/>
      <c r="T8" s="1"/>
    </row>
    <row r="9" ht="18.0" customHeight="1">
      <c r="A9" s="1"/>
      <c r="B9" s="52" t="s">
        <v>51</v>
      </c>
      <c r="C9" s="40">
        <f>AVERAGE('Pick and Place'!H21:H25)</f>
        <v>9.2</v>
      </c>
      <c r="D9" s="40">
        <f>STDEV('Pick and Place'!H21:H25)</f>
        <v>1.788854382</v>
      </c>
      <c r="E9" s="44">
        <f t="shared" si="1"/>
        <v>0.1944406937</v>
      </c>
      <c r="F9" s="40">
        <f>AVERAGE('Pick and Place'!H26:H30)</f>
        <v>7.6</v>
      </c>
      <c r="G9" s="40">
        <f>STDEV('Pick and Place'!H26:H30)</f>
        <v>2.19089023</v>
      </c>
      <c r="H9" s="44">
        <f t="shared" si="2"/>
        <v>0.2882750303</v>
      </c>
      <c r="I9" s="40">
        <f>AVERAGE('Pick and Place'!H31:H35)</f>
        <v>3.6</v>
      </c>
      <c r="J9" s="40">
        <f>STDEV('Pick and Place'!H31:H35)</f>
        <v>3.286335345</v>
      </c>
      <c r="K9" s="44">
        <f t="shared" si="3"/>
        <v>0.9128709292</v>
      </c>
      <c r="L9" s="50"/>
      <c r="M9" s="50"/>
      <c r="N9" s="50"/>
      <c r="O9" s="1"/>
      <c r="P9" s="1"/>
      <c r="Q9" s="1"/>
      <c r="R9" s="1"/>
      <c r="S9" s="1"/>
      <c r="T9" s="1"/>
    </row>
    <row r="10" ht="18.0" customHeight="1">
      <c r="A10" s="1"/>
      <c r="B10" s="60" t="s">
        <v>59</v>
      </c>
      <c r="C10" s="40">
        <f>AVERAGE('Pick and Place'!H36:H40)</f>
        <v>0</v>
      </c>
      <c r="D10" s="40">
        <f>STDEV('Pick and Place'!H36:H40)</f>
        <v>0</v>
      </c>
      <c r="E10" s="44" t="str">
        <f t="shared" si="1"/>
        <v>-</v>
      </c>
      <c r="F10" s="40">
        <f>AVERAGE('Pick and Place'!H41:H45)</f>
        <v>0</v>
      </c>
      <c r="G10" s="40">
        <f>STDEV('Pick and Place'!H41:H45)</f>
        <v>0</v>
      </c>
      <c r="H10" s="44" t="str">
        <f t="shared" si="2"/>
        <v>-</v>
      </c>
      <c r="I10" s="40">
        <f>AVERAGE('Pick and Place'!H46:H50)</f>
        <v>0</v>
      </c>
      <c r="J10" s="40">
        <f>STDEV('Pick and Place'!H46:H50)</f>
        <v>0</v>
      </c>
      <c r="K10" s="44" t="str">
        <f t="shared" si="3"/>
        <v>-</v>
      </c>
      <c r="L10" s="50"/>
      <c r="M10" s="50"/>
      <c r="N10" s="50"/>
      <c r="O10" s="1"/>
      <c r="P10" s="1"/>
      <c r="Q10" s="1"/>
      <c r="R10" s="1"/>
      <c r="S10" s="1"/>
      <c r="T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21.75" customHeight="1">
      <c r="A12" s="1"/>
      <c r="B12" s="18" t="s">
        <v>75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5"/>
      <c r="O12" s="1"/>
      <c r="P12" s="1"/>
      <c r="Q12" s="1"/>
      <c r="R12" s="1"/>
      <c r="S12" s="1"/>
      <c r="T12" s="1"/>
    </row>
    <row r="13" ht="21.75" customHeight="1">
      <c r="A13" s="1"/>
      <c r="B13" s="22" t="s">
        <v>6</v>
      </c>
      <c r="C13" s="23" t="s">
        <v>20</v>
      </c>
      <c r="D13" s="24"/>
      <c r="E13" s="25"/>
      <c r="F13" s="23" t="s">
        <v>24</v>
      </c>
      <c r="G13" s="24"/>
      <c r="H13" s="25"/>
      <c r="I13" s="27" t="s">
        <v>27</v>
      </c>
      <c r="J13" s="24"/>
      <c r="K13" s="25"/>
      <c r="L13" s="23" t="s">
        <v>29</v>
      </c>
      <c r="M13" s="24"/>
      <c r="N13" s="25"/>
      <c r="O13" s="1"/>
      <c r="P13" s="1"/>
      <c r="Q13" s="1"/>
      <c r="R13" s="1"/>
      <c r="S13" s="1"/>
      <c r="T13" s="1"/>
    </row>
    <row r="14" ht="21.75" customHeight="1">
      <c r="A14" s="1"/>
      <c r="B14" s="29"/>
      <c r="C14" s="31" t="s">
        <v>34</v>
      </c>
      <c r="D14" s="31" t="s">
        <v>35</v>
      </c>
      <c r="E14" s="31" t="s">
        <v>36</v>
      </c>
      <c r="F14" s="31" t="s">
        <v>34</v>
      </c>
      <c r="G14" s="31" t="s">
        <v>35</v>
      </c>
      <c r="H14" s="31" t="s">
        <v>36</v>
      </c>
      <c r="I14" s="31" t="s">
        <v>34</v>
      </c>
      <c r="J14" s="31" t="s">
        <v>35</v>
      </c>
      <c r="K14" s="31" t="s">
        <v>36</v>
      </c>
      <c r="L14" s="31" t="s">
        <v>37</v>
      </c>
      <c r="M14" s="31" t="s">
        <v>39</v>
      </c>
      <c r="N14" s="31" t="s">
        <v>40</v>
      </c>
      <c r="O14" s="1"/>
      <c r="P14" s="1"/>
      <c r="Q14" s="1"/>
      <c r="R14" s="1"/>
      <c r="S14" s="1"/>
      <c r="T14" s="1"/>
    </row>
    <row r="15" ht="18.0" customHeight="1">
      <c r="A15" s="1"/>
      <c r="B15" s="36" t="s">
        <v>15</v>
      </c>
      <c r="C15" s="40">
        <f>AVERAGE(Pouring!H6:H10)</f>
        <v>1.6</v>
      </c>
      <c r="D15" s="40">
        <f>STDEV(Pouring!H6:H10)</f>
        <v>2.19089023</v>
      </c>
      <c r="E15" s="44">
        <f t="shared" ref="E15:E17" si="4">IF(C15=0,"-",D15/C15)</f>
        <v>1.369306394</v>
      </c>
      <c r="F15" s="40">
        <f>AVERAGE(Pouring!H11:H15)</f>
        <v>0.8</v>
      </c>
      <c r="G15" s="40">
        <f>STDEV(Pouring!H11:H15)</f>
        <v>1.788854382</v>
      </c>
      <c r="H15" s="44">
        <f t="shared" ref="H15:H17" si="5">IF(F15=0,"-",G15/F15)</f>
        <v>2.236067977</v>
      </c>
      <c r="I15" s="40">
        <f>AVERAGE(Pouring!H16:H20)</f>
        <v>6.4</v>
      </c>
      <c r="J15" s="40">
        <f>STDEV(Pouring!H16:H20)</f>
        <v>4.098780306</v>
      </c>
      <c r="K15" s="44">
        <f t="shared" ref="K15:K17" si="6">IF(I15=0,"-",J15/I15)</f>
        <v>0.6404344229</v>
      </c>
      <c r="L15" s="50"/>
      <c r="M15" s="50"/>
      <c r="N15" s="50"/>
      <c r="O15" s="1"/>
      <c r="P15" s="1"/>
      <c r="Q15" s="1"/>
      <c r="R15" s="1"/>
      <c r="S15" s="1"/>
      <c r="T15" s="1"/>
    </row>
    <row r="16" ht="18.0" customHeight="1">
      <c r="A16" s="1"/>
      <c r="B16" s="52" t="s">
        <v>51</v>
      </c>
      <c r="C16" s="40">
        <f>AVERAGE(Pouring!H21:H25)</f>
        <v>0</v>
      </c>
      <c r="D16" s="40">
        <f>STDEV(Pouring!H21:H25)</f>
        <v>0</v>
      </c>
      <c r="E16" s="44" t="str">
        <f t="shared" si="4"/>
        <v>-</v>
      </c>
      <c r="F16" s="40">
        <f>AVERAGE(Pouring!H26:H30)</f>
        <v>1.6</v>
      </c>
      <c r="G16" s="40">
        <f>STDEV(Pouring!H26:H30)</f>
        <v>2.19089023</v>
      </c>
      <c r="H16" s="44">
        <f t="shared" si="5"/>
        <v>1.369306394</v>
      </c>
      <c r="I16" s="40">
        <f>AVERAGE(Pouring!H31:H35)</f>
        <v>5.6</v>
      </c>
      <c r="J16" s="40">
        <f>STDEV(Pouring!H31:H35)</f>
        <v>3.577708764</v>
      </c>
      <c r="K16" s="44">
        <f t="shared" si="6"/>
        <v>0.638876565</v>
      </c>
      <c r="L16" s="50"/>
      <c r="M16" s="50"/>
      <c r="N16" s="50"/>
      <c r="O16" s="1"/>
      <c r="P16" s="1"/>
      <c r="Q16" s="1"/>
      <c r="R16" s="1"/>
      <c r="S16" s="1"/>
      <c r="T16" s="1"/>
    </row>
    <row r="17" ht="18.0" customHeight="1">
      <c r="A17" s="1"/>
      <c r="B17" s="60" t="s">
        <v>59</v>
      </c>
      <c r="C17" s="40">
        <f>AVERAGE(Pouring!H36:H40)</f>
        <v>0</v>
      </c>
      <c r="D17" s="40">
        <f>STDEV(Pouring!H36:H40)</f>
        <v>0</v>
      </c>
      <c r="E17" s="44" t="str">
        <f t="shared" si="4"/>
        <v>-</v>
      </c>
      <c r="F17" s="40">
        <f>AVERAGE(Pouring!H41:H45)</f>
        <v>0</v>
      </c>
      <c r="G17" s="40">
        <f>STDEV(Pouring!H41:H45)</f>
        <v>0</v>
      </c>
      <c r="H17" s="44" t="str">
        <f t="shared" si="5"/>
        <v>-</v>
      </c>
      <c r="I17" s="40">
        <f>AVERAGE(Pouring!H46:H50)</f>
        <v>1.6</v>
      </c>
      <c r="J17" s="40">
        <f>STDEV(Pouring!H46:H50)</f>
        <v>2.19089023</v>
      </c>
      <c r="K17" s="44">
        <f t="shared" si="6"/>
        <v>1.369306394</v>
      </c>
      <c r="L17" s="50"/>
      <c r="M17" s="50"/>
      <c r="N17" s="50"/>
      <c r="O17" s="1"/>
      <c r="P17" s="1"/>
      <c r="Q17" s="1"/>
      <c r="R17" s="1"/>
      <c r="S17" s="1"/>
      <c r="T17" s="1"/>
    </row>
    <row r="18">
      <c r="A18" s="1"/>
      <c r="B18" s="1"/>
      <c r="C18" s="95"/>
      <c r="D18" s="95"/>
      <c r="E18" s="97"/>
      <c r="F18" s="95"/>
      <c r="G18" s="95"/>
      <c r="H18" s="97"/>
      <c r="I18" s="95"/>
      <c r="J18" s="95"/>
      <c r="K18" s="97"/>
      <c r="L18" s="1"/>
      <c r="M18" s="1"/>
      <c r="N18" s="1"/>
      <c r="O18" s="1"/>
      <c r="P18" s="1"/>
      <c r="Q18" s="1"/>
      <c r="R18" s="1"/>
      <c r="S18" s="1"/>
      <c r="T18" s="1"/>
    </row>
    <row r="19" ht="21.75" customHeight="1">
      <c r="A19" s="1"/>
      <c r="B19" s="18" t="s">
        <v>99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5"/>
      <c r="O19" s="1"/>
      <c r="P19" s="1"/>
      <c r="Q19" s="1"/>
      <c r="R19" s="1"/>
      <c r="S19" s="1"/>
      <c r="T19" s="1"/>
    </row>
    <row r="20">
      <c r="A20" s="1"/>
      <c r="B20" s="22" t="s">
        <v>6</v>
      </c>
      <c r="C20" s="23" t="s">
        <v>20</v>
      </c>
      <c r="D20" s="24"/>
      <c r="E20" s="25"/>
      <c r="F20" s="23" t="s">
        <v>24</v>
      </c>
      <c r="G20" s="24"/>
      <c r="H20" s="25"/>
      <c r="I20" s="27" t="s">
        <v>27</v>
      </c>
      <c r="J20" s="24"/>
      <c r="K20" s="25"/>
      <c r="L20" s="23" t="s">
        <v>29</v>
      </c>
      <c r="M20" s="24"/>
      <c r="N20" s="25"/>
      <c r="O20" s="1"/>
      <c r="P20" s="1"/>
      <c r="Q20" s="1"/>
      <c r="R20" s="1"/>
      <c r="S20" s="1"/>
      <c r="T20" s="1"/>
    </row>
    <row r="21" ht="21.75" customHeight="1">
      <c r="A21" s="1"/>
      <c r="B21" s="29"/>
      <c r="C21" s="31" t="s">
        <v>34</v>
      </c>
      <c r="D21" s="31" t="s">
        <v>35</v>
      </c>
      <c r="E21" s="31" t="s">
        <v>36</v>
      </c>
      <c r="F21" s="31" t="s">
        <v>34</v>
      </c>
      <c r="G21" s="31" t="s">
        <v>35</v>
      </c>
      <c r="H21" s="31" t="s">
        <v>36</v>
      </c>
      <c r="I21" s="31" t="s">
        <v>34</v>
      </c>
      <c r="J21" s="31" t="s">
        <v>35</v>
      </c>
      <c r="K21" s="31" t="s">
        <v>36</v>
      </c>
      <c r="L21" s="31" t="s">
        <v>37</v>
      </c>
      <c r="M21" s="31" t="s">
        <v>39</v>
      </c>
      <c r="N21" s="31" t="s">
        <v>40</v>
      </c>
      <c r="O21" s="1"/>
      <c r="P21" s="1"/>
      <c r="Q21" s="1"/>
      <c r="R21" s="1"/>
      <c r="S21" s="1"/>
      <c r="T21" s="1"/>
    </row>
    <row r="22" ht="18.0" customHeight="1">
      <c r="A22" s="1"/>
      <c r="B22" s="36" t="s">
        <v>15</v>
      </c>
      <c r="C22" s="40">
        <f>AVERAGE('밸브 조작'!H6:H10)</f>
        <v>9.2</v>
      </c>
      <c r="D22" s="40">
        <f>STDEV('밸브 조작'!H6:H10)</f>
        <v>1.788854382</v>
      </c>
      <c r="E22" s="44">
        <f t="shared" ref="E22:E24" si="7">IF(C22=0,"-",D22/C22)</f>
        <v>0.1944406937</v>
      </c>
      <c r="F22" s="40">
        <f>AVERAGE('밸브 조작'!H11:H15)</f>
        <v>9.2</v>
      </c>
      <c r="G22" s="40">
        <f>STDEV('밸브 조작'!H11:H15)</f>
        <v>1.788854382</v>
      </c>
      <c r="H22" s="44">
        <f t="shared" ref="H22:H24" si="8">IF(F22=0,"-",G22/F22)</f>
        <v>0.1944406937</v>
      </c>
      <c r="I22" s="40">
        <f>AVERAGE('밸브 조작'!H16:H20)</f>
        <v>10</v>
      </c>
      <c r="J22" s="40">
        <f>STDEV('밸브 조작'!H16:H20)</f>
        <v>0</v>
      </c>
      <c r="K22" s="44">
        <f t="shared" ref="K22:K24" si="9">IF(I22=0,"-",J22/I22)</f>
        <v>0</v>
      </c>
      <c r="L22" s="50"/>
      <c r="M22" s="50"/>
      <c r="N22" s="50"/>
      <c r="O22" s="1"/>
      <c r="P22" s="1"/>
      <c r="Q22" s="1"/>
      <c r="R22" s="1"/>
      <c r="S22" s="1"/>
      <c r="T22" s="1"/>
    </row>
    <row r="23" ht="18.0" customHeight="1">
      <c r="A23" s="1"/>
      <c r="B23" s="52" t="s">
        <v>51</v>
      </c>
      <c r="C23" s="40">
        <f>AVERAGE('밸브 조작'!H21:H25)</f>
        <v>7.2</v>
      </c>
      <c r="D23" s="40">
        <f>STDEV('밸브 조작'!H21:H25)</f>
        <v>4.38178046</v>
      </c>
      <c r="E23" s="44">
        <f t="shared" si="7"/>
        <v>0.6085806195</v>
      </c>
      <c r="F23" s="40">
        <f>AVERAGE('밸브 조작'!H26:H30)</f>
        <v>6.4</v>
      </c>
      <c r="G23" s="40">
        <f>STDEV('밸브 조작'!H26:H30)</f>
        <v>4.098780306</v>
      </c>
      <c r="H23" s="44">
        <f t="shared" si="8"/>
        <v>0.6404344229</v>
      </c>
      <c r="I23" s="40">
        <f>AVERAGE('밸브 조작'!H31:H35)</f>
        <v>10</v>
      </c>
      <c r="J23" s="40">
        <f>STDEV('밸브 조작'!H31:H35)</f>
        <v>0</v>
      </c>
      <c r="K23" s="44">
        <f t="shared" si="9"/>
        <v>0</v>
      </c>
      <c r="L23" s="50"/>
      <c r="M23" s="50"/>
      <c r="N23" s="50"/>
      <c r="O23" s="1"/>
      <c r="P23" s="1"/>
      <c r="Q23" s="1"/>
      <c r="R23" s="1"/>
      <c r="S23" s="1"/>
      <c r="T23" s="1"/>
    </row>
    <row r="24" ht="18.0" customHeight="1">
      <c r="A24" s="1"/>
      <c r="B24" s="60" t="s">
        <v>59</v>
      </c>
      <c r="C24" s="40">
        <f>AVERAGE('밸브 조작'!H36:H40)</f>
        <v>0</v>
      </c>
      <c r="D24" s="40">
        <f>STDEV('밸브 조작'!H36:H40)</f>
        <v>0</v>
      </c>
      <c r="E24" s="44" t="str">
        <f t="shared" si="7"/>
        <v>-</v>
      </c>
      <c r="F24" s="40">
        <f>AVERAGE('밸브 조작'!H41:H45)</f>
        <v>4</v>
      </c>
      <c r="G24" s="40">
        <f>STDEV('밸브 조작'!H41:H45)</f>
        <v>5.477225575</v>
      </c>
      <c r="H24" s="44">
        <f t="shared" si="8"/>
        <v>1.369306394</v>
      </c>
      <c r="I24" s="40">
        <f>AVERAGE('밸브 조작'!H46:H50)</f>
        <v>10</v>
      </c>
      <c r="J24" s="40">
        <f>STDEV('밸브 조작'!H46:H50)</f>
        <v>0</v>
      </c>
      <c r="K24" s="44">
        <f t="shared" si="9"/>
        <v>0</v>
      </c>
      <c r="L24" s="50"/>
      <c r="M24" s="50"/>
      <c r="N24" s="50"/>
      <c r="O24" s="1"/>
      <c r="P24" s="1"/>
      <c r="Q24" s="1"/>
      <c r="R24" s="1"/>
      <c r="S24" s="1"/>
      <c r="T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21.75" customHeight="1">
      <c r="A26" s="1"/>
      <c r="B26" s="18" t="s">
        <v>112</v>
      </c>
      <c r="C26" s="3"/>
      <c r="D26" s="3"/>
      <c r="E26" s="3"/>
      <c r="F26" s="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ht="15.75" customHeight="1">
      <c r="A27" s="1"/>
      <c r="B27" s="104" t="s">
        <v>113</v>
      </c>
      <c r="C27" s="104" t="s">
        <v>6</v>
      </c>
      <c r="D27" s="104" t="s">
        <v>20</v>
      </c>
      <c r="E27" s="104" t="s">
        <v>24</v>
      </c>
      <c r="F27" s="105" t="s">
        <v>27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ht="18.0" customHeight="1">
      <c r="A28" s="1"/>
      <c r="B28" s="106" t="s">
        <v>114</v>
      </c>
      <c r="C28" s="36" t="s">
        <v>15</v>
      </c>
      <c r="D28" s="107" t="str">
        <f>TEXT(AVERAGE('Pick and Place'!H6:H10),"0.00")&amp;" ± "&amp;TEXT(STDEV('Pick and Place'!H6:H10),"0.00")&amp;IF(AVERAGE('Pick and Place'!H6:H10)=0," (CV -)"," (CV "&amp;TEXT(STDEV('Pick and Place'!H6:H10)/AVERAGE('Pick and Place'!H6:H10),"0.0%")&amp;")")</f>
        <v>7.20 ± 4.38 (CV 60.9%)</v>
      </c>
      <c r="E28" s="107" t="str">
        <f>TEXT(AVERAGE('Pick and Place'!H11:H15),"0.00")&amp;" ± "&amp;TEXT(STDEV('Pick and Place'!H11:H15),"0.00")&amp;IF(AVERAGE('Pick and Place'!H11:H15)=0," (CV -)"," (CV "&amp;TEXT(STDEV('Pick and Place'!H11:H15)/AVERAGE('Pick and Place'!H11:H15),"0.0%")&amp;")")</f>
        <v>6.80 ± 1.79 (CV 26.3%)</v>
      </c>
      <c r="F28" s="107" t="str">
        <f>TEXT(AVERAGE('Pick and Place'!H16:H20),"0.00")&amp;" ± "&amp;TEXT(STDEV('Pick and Place'!H16:H20),"0.00")&amp;IF(AVERAGE('Pick and Place'!H16:H20)=0," (CV -)"," (CV "&amp;TEXT(STDEV('Pick and Place'!H16:H20)/AVERAGE('Pick and Place'!H16:H20),"0.0%")&amp;")")</f>
        <v>8.40 ± 2.19 (CV 26.1%)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ht="18.0" customHeight="1">
      <c r="A29" s="1"/>
      <c r="B29" s="108"/>
      <c r="C29" s="52" t="s">
        <v>51</v>
      </c>
      <c r="D29" s="107" t="str">
        <f>TEXT(AVERAGE('Pick and Place'!H21:H25),"0.00")&amp;" ± "&amp;TEXT(STDEV('Pick and Place'!H21:H25),"0.00")&amp;IF(AVERAGE('Pick and Place'!H21:H25)=0," (CV -)"," (CV "&amp;TEXT(STDEV('Pick and Place'!H21:H25)/AVERAGE('Pick and Place'!H21:H25),"0.0%")&amp;")")</f>
        <v>9.20 ± 1.79 (CV 19.4%)</v>
      </c>
      <c r="E29" s="107" t="str">
        <f>TEXT(AVERAGE('Pick and Place'!H26:H30),"0.00")&amp;" ± "&amp;TEXT(STDEV('Pick and Place'!H26:H30),"0.00")&amp;IF(AVERAGE('Pick and Place'!H26:H30)=0," (CV -)"," (CV "&amp;TEXT(STDEV('Pick and Place'!H26:H30)/AVERAGE('Pick and Place'!H26:H30),"0.0%")&amp;")")</f>
        <v>7.60 ± 2.19 (CV 28.8%)</v>
      </c>
      <c r="F29" s="107" t="str">
        <f>TEXT(AVERAGE('Pick and Place'!H31:H35),"0.00")&amp;" ± "&amp;TEXT(STDEV('Pick and Place'!H31:H35),"0.00")&amp;IF(AVERAGE('Pick and Place'!H31:H35)=0," (CV -)"," (CV "&amp;TEXT(STDEV('Pick and Place'!H31:H35)/AVERAGE('Pick and Place'!H31:H35),"0.0%")&amp;")")</f>
        <v>3.60 ± 3.29 (CV 91.3%)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8.0" customHeight="1">
      <c r="A30" s="1"/>
      <c r="B30" s="29"/>
      <c r="C30" s="60" t="s">
        <v>59</v>
      </c>
      <c r="D30" s="107" t="str">
        <f>TEXT(AVERAGE('Pick and Place'!H36:H40),"0.00")&amp;" ± "&amp;TEXT(STDEV('Pick and Place'!H36:H40),"0.00")&amp;IF(AVERAGE('Pick and Place'!H36:H40)=0," (CV -)"," (CV "&amp;TEXT(STDEV('Pick and Place'!H36:H40)/AVERAGE('Pick and Place'!H36:H40),"0.0%")&amp;")")</f>
        <v>0.00 ± 0.00 (CV -)</v>
      </c>
      <c r="E30" s="107" t="str">
        <f>TEXT(AVERAGE('Pick and Place'!H41:H45),"0.00")&amp;" ± "&amp;TEXT(STDEV('Pick and Place'!H41:H45),"0.00")&amp;IF(AVERAGE('Pick and Place'!H41:H45)=0," (CV -)"," (CV "&amp;TEXT(STDEV('Pick and Place'!H41:H45)/AVERAGE('Pick and Place'!H41:H45),"0.0%")&amp;")")</f>
        <v>0.00 ± 0.00 (CV -)</v>
      </c>
      <c r="F30" s="107" t="str">
        <f>TEXT(AVERAGE('Pick and Place'!H46:H50),"0.00")&amp;" ± "&amp;TEXT(STDEV('Pick and Place'!H46:H50),"0.00")&amp;IF(AVERAGE('Pick and Place'!H46:H50)=0," (CV -)"," (CV "&amp;TEXT(STDEV('Pick and Place'!H46:H50)/AVERAGE('Pick and Place'!H46:H50),"0.0%")&amp;")")</f>
        <v>0.00 ± 0.00 (CV -)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18.0" customHeight="1">
      <c r="A31" s="1"/>
      <c r="B31" s="106" t="s">
        <v>115</v>
      </c>
      <c r="C31" s="36" t="s">
        <v>15</v>
      </c>
      <c r="D31" s="107" t="str">
        <f>TEXT(AVERAGE(Pouring!H6:H10),"0.00")&amp;" ± "&amp;TEXT(STDEV(Pouring!H6:H10),"0.00")&amp;IF(AVERAGE(Pouring!H6:H10)=0," (CV -)"," (CV "&amp;TEXT(STDEV(Pouring!H6:H10)/AVERAGE(Pouring!H6:H10),"0.0%")&amp;")")</f>
        <v>1.60 ± 2.19 (CV 136.9%)</v>
      </c>
      <c r="E31" s="107" t="str">
        <f>TEXT(AVERAGE(Pouring!H11:H15),"0.00")&amp;" ± "&amp;TEXT(STDEV(Pouring!H11:H15),"0.00")&amp;IF(AVERAGE(Pouring!H11:H15)=0," (CV -)"," (CV "&amp;TEXT(STDEV(Pouring!H11:H15)/AVERAGE(Pouring!H11:H15),"0.0%")&amp;")")</f>
        <v>0.80 ± 1.79 (CV 223.6%)</v>
      </c>
      <c r="F31" s="107" t="str">
        <f>TEXT(AVERAGE(Pouring!H16:H20),"0.00")&amp;" ± "&amp;TEXT(STDEV(Pouring!H16:H20),"0.00")&amp;IF(AVERAGE(Pouring!H16:H20)=0," (CV -)"," (CV "&amp;TEXT(STDEV(Pouring!H16:H20)/AVERAGE(Pouring!H16:H20),"0.0%")&amp;")")</f>
        <v>6.40 ± 4.10 (CV 64.0%)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ht="18.0" customHeight="1">
      <c r="A32" s="1"/>
      <c r="B32" s="108"/>
      <c r="C32" s="52" t="s">
        <v>51</v>
      </c>
      <c r="D32" s="107" t="str">
        <f>TEXT(AVERAGE(Pouring!H21:H25),"0.00")&amp;" ± "&amp;TEXT(STDEV(Pouring!H21:H25),"0.00")&amp;IF(AVERAGE(Pouring!H21:H25)=0," (CV -)"," (CV "&amp;TEXT(STDEV(Pouring!H21:H25)/AVERAGE(Pouring!H21:H25),"0.0%")&amp;")")</f>
        <v>0.00 ± 0.00 (CV -)</v>
      </c>
      <c r="E32" s="107" t="str">
        <f>TEXT(AVERAGE(Pouring!H26:H30),"0.00")&amp;" ± "&amp;TEXT(STDEV(Pouring!H26:H30),"0.00")&amp;IF(AVERAGE(Pouring!H26:H30)=0," (CV -)"," (CV "&amp;TEXT(STDEV(Pouring!H26:H30)/AVERAGE(Pouring!H26:H30),"0.0%")&amp;")")</f>
        <v>1.60 ± 2.19 (CV 136.9%)</v>
      </c>
      <c r="F32" s="107" t="str">
        <f>TEXT(AVERAGE(Pouring!H31:H35),"0.00")&amp;" ± "&amp;TEXT(STDEV(Pouring!H31:H35),"0.00")&amp;IF(AVERAGE(Pouring!H31:H35)=0," (CV -)"," (CV "&amp;TEXT(STDEV(Pouring!H31:H35)/AVERAGE(Pouring!H31:H35),"0.0%")&amp;")")</f>
        <v>5.60 ± 3.58 (CV 63.9%)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ht="18.0" customHeight="1">
      <c r="A33" s="1"/>
      <c r="B33" s="29"/>
      <c r="C33" s="60" t="s">
        <v>59</v>
      </c>
      <c r="D33" s="107" t="str">
        <f>TEXT(AVERAGE(Pouring!H36:H40),"0.00")&amp;" ± "&amp;TEXT(STDEV(Pouring!H36:H40),"0.00")&amp;IF(AVERAGE(Pouring!H36:H40)=0," (CV -)"," (CV "&amp;TEXT(STDEV(Pouring!H36:H40)/AVERAGE(Pouring!H36:H40),"0.0%")&amp;")")</f>
        <v>0.00 ± 0.00 (CV -)</v>
      </c>
      <c r="E33" s="107" t="str">
        <f>TEXT(AVERAGE(Pouring!H41:H45),"0.00")&amp;" ± "&amp;TEXT(STDEV(Pouring!H41:H45),"0.00")&amp;IF(AVERAGE(Pouring!H41:H45)=0," (CV -)"," (CV "&amp;TEXT(STDEV(Pouring!H41:H45)/AVERAGE(Pouring!H41:H45),"0.0%")&amp;")")</f>
        <v>0.00 ± 0.00 (CV -)</v>
      </c>
      <c r="F33" s="107" t="str">
        <f>TEXT(AVERAGE(Pouring!H46:H50),"0.00")&amp;" ± "&amp;TEXT(STDEV(Pouring!H46:H50),"0.00")&amp;IF(AVERAGE(Pouring!H46:H50)=0," (CV -)"," (CV "&amp;TEXT(STDEV(Pouring!H46:H50)/AVERAGE(Pouring!H46:H50),"0.0%")&amp;")")</f>
        <v>1.60 ± 2.19 (CV 136.9%)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18.0" customHeight="1">
      <c r="A34" s="1"/>
      <c r="B34" s="106" t="s">
        <v>116</v>
      </c>
      <c r="C34" s="36" t="s">
        <v>15</v>
      </c>
      <c r="D34" s="107" t="str">
        <f>TEXT(AVERAGE('밸브 조작'!H6:H10),"0.00")&amp;" ± "&amp;TEXT(STDEV('밸브 조작'!H6:H10),"0.00")&amp;IF(AVERAGE('밸브 조작'!H6:H10)=0," (CV -)"," (CV "&amp;TEXT(STDEV('밸브 조작'!H6:H10)/AVERAGE('밸브 조작'!H6:H10),"0.0%")&amp;")")</f>
        <v>9.20 ± 1.79 (CV 19.4%)</v>
      </c>
      <c r="E34" s="107" t="str">
        <f>TEXT(AVERAGE('밸브 조작'!H11:H15),"0.00")&amp;" ± "&amp;TEXT(STDEV('밸브 조작'!H11:H15),"0.00")&amp;IF(AVERAGE('밸브 조작'!H11:H15)=0," (CV -)"," (CV "&amp;TEXT(STDEV('밸브 조작'!H11:H15)/AVERAGE('밸브 조작'!H11:H15),"0.0%")&amp;")")</f>
        <v>9.20 ± 1.79 (CV 19.4%)</v>
      </c>
      <c r="F34" s="107" t="str">
        <f>TEXT(AVERAGE('밸브 조작'!H16:H20),"0.00")&amp;" ± "&amp;TEXT(STDEV('밸브 조작'!H16:H20),"0.00")&amp;IF(AVERAGE('밸브 조작'!H16:H20)=0," (CV -)"," (CV "&amp;TEXT(STDEV('밸브 조작'!H16:H20)/AVERAGE('밸브 조작'!H16:H20),"0.0%")&amp;")")</f>
        <v>10.00 ± 0.00 (CV 0.0%)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8.0" customHeight="1">
      <c r="A35" s="1"/>
      <c r="B35" s="108"/>
      <c r="C35" s="52" t="s">
        <v>51</v>
      </c>
      <c r="D35" s="107" t="str">
        <f>TEXT(AVERAGE('밸브 조작'!H21:H25),"0.00")&amp;" ± "&amp;TEXT(STDEV('밸브 조작'!H21:H25),"0.00")&amp;IF(AVERAGE('밸브 조작'!H21:H25)=0," (CV -)"," (CV "&amp;TEXT(STDEV('밸브 조작'!H21:H25)/AVERAGE('밸브 조작'!H21:H25),"0.0%")&amp;")")</f>
        <v>7.20 ± 4.38 (CV 60.9%)</v>
      </c>
      <c r="E35" s="107" t="str">
        <f>TEXT(AVERAGE('밸브 조작'!H26:H30),"0.00")&amp;" ± "&amp;TEXT(STDEV('밸브 조작'!H26:H30),"0.00")&amp;IF(AVERAGE('밸브 조작'!H26:H30)=0," (CV -)"," (CV "&amp;TEXT(STDEV('밸브 조작'!H26:H30)/AVERAGE('밸브 조작'!H26:H30),"0.0%")&amp;")")</f>
        <v>6.40 ± 4.10 (CV 64.0%)</v>
      </c>
      <c r="F35" s="107" t="str">
        <f>TEXT(AVERAGE('밸브 조작'!H31:H35),"0.00")&amp;" ± "&amp;TEXT(STDEV('밸브 조작'!H31:H35),"0.00")&amp;IF(AVERAGE('밸브 조작'!H31:H35)=0," (CV -)"," (CV "&amp;TEXT(STDEV('밸브 조작'!H31:H35)/AVERAGE('밸브 조작'!H31:H35),"0.0%")&amp;")")</f>
        <v>10.00 ± 0.00 (CV 0.0%)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8.0" customHeight="1">
      <c r="A36" s="1"/>
      <c r="B36" s="29"/>
      <c r="C36" s="60" t="s">
        <v>59</v>
      </c>
      <c r="D36" s="107" t="str">
        <f>TEXT(AVERAGE('밸브 조작'!H36:H40),"0.00")&amp;" ± "&amp;TEXT(STDEV('밸브 조작'!H36:H40),"0.00")&amp;IF(AVERAGE('밸브 조작'!H36:H40)=0," (CV -)"," (CV "&amp;TEXT(STDEV('밸브 조작'!H36:H40)/AVERAGE('밸브 조작'!H36:H40),"0.0%")&amp;")")</f>
        <v>0.00 ± 0.00 (CV -)</v>
      </c>
      <c r="E36" s="107" t="str">
        <f>TEXT(AVERAGE('밸브 조작'!H41:H45),"0.00")&amp;" ± "&amp;TEXT(STDEV('밸브 조작'!H41:H45),"0.00")&amp;IF(AVERAGE('밸브 조작'!H41:H45)=0," (CV -)"," (CV "&amp;TEXT(STDEV('밸브 조작'!H41:H45)/AVERAGE('밸브 조작'!H41:H45),"0.0%")&amp;")")</f>
        <v>4.00 ± 5.48 (CV 136.9%)</v>
      </c>
      <c r="F36" s="107" t="str">
        <f>TEXT(AVERAGE('밸브 조작'!H46:H50),"0.00")&amp;" ± "&amp;TEXT(STDEV('밸브 조작'!H46:H50),"0.00")&amp;IF(AVERAGE('밸브 조작'!H46:H50)=0," (CV -)"," (CV "&amp;TEXT(STDEV('밸브 조작'!H46:H50)/AVERAGE('밸브 조작'!H46:H50),"0.0%")&amp;")")</f>
        <v>10.00 ± 0.00 (CV 0.0%)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2:N2"/>
    <mergeCell ref="B3:N3"/>
    <mergeCell ref="B5:N5"/>
    <mergeCell ref="B6:B7"/>
    <mergeCell ref="C6:E6"/>
    <mergeCell ref="F6:H6"/>
    <mergeCell ref="I6:K6"/>
    <mergeCell ref="B13:B14"/>
    <mergeCell ref="B20:B21"/>
    <mergeCell ref="B26:F26"/>
    <mergeCell ref="B28:B30"/>
    <mergeCell ref="B31:B33"/>
    <mergeCell ref="B34:B36"/>
    <mergeCell ref="C20:E20"/>
    <mergeCell ref="F20:H20"/>
    <mergeCell ref="I20:K20"/>
    <mergeCell ref="L20:N20"/>
    <mergeCell ref="L6:N6"/>
    <mergeCell ref="B12:N12"/>
    <mergeCell ref="C13:E13"/>
    <mergeCell ref="F13:H13"/>
    <mergeCell ref="I13:K13"/>
    <mergeCell ref="L13:N13"/>
    <mergeCell ref="B19:N1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8.71"/>
    <col customWidth="1" min="2" max="2" width="10.0"/>
    <col customWidth="1" min="3" max="3" width="16.0"/>
    <col customWidth="1" min="4" max="4" width="12.0"/>
    <col customWidth="1" min="5" max="7" width="20.0"/>
    <col customWidth="1" min="8" max="8" width="14.0"/>
    <col customWidth="1" min="9" max="9" width="51.71"/>
  </cols>
  <sheetData>
    <row r="2" ht="27.75" customHeight="1">
      <c r="B2" s="2" t="s">
        <v>0</v>
      </c>
      <c r="C2" s="3"/>
      <c r="D2" s="3"/>
      <c r="E2" s="3"/>
      <c r="F2" s="3"/>
      <c r="G2" s="3"/>
      <c r="H2" s="3"/>
      <c r="I2" s="5"/>
    </row>
    <row r="3" ht="15.0" customHeight="1">
      <c r="B3" s="6" t="s">
        <v>3</v>
      </c>
    </row>
    <row r="5" ht="27.75" customHeight="1">
      <c r="B5" s="8" t="s">
        <v>6</v>
      </c>
      <c r="C5" s="8" t="s">
        <v>7</v>
      </c>
      <c r="D5" s="8" t="s">
        <v>8</v>
      </c>
      <c r="E5" s="10" t="s">
        <v>9</v>
      </c>
      <c r="F5" s="8" t="s">
        <v>10</v>
      </c>
      <c r="G5" s="13" t="s">
        <v>12</v>
      </c>
      <c r="H5" s="8" t="s">
        <v>13</v>
      </c>
      <c r="I5" s="8" t="s">
        <v>14</v>
      </c>
    </row>
    <row r="6">
      <c r="B6" s="14" t="s">
        <v>15</v>
      </c>
      <c r="C6" s="14">
        <v>50.0</v>
      </c>
      <c r="D6" s="14" t="s">
        <v>16</v>
      </c>
      <c r="E6" s="16" t="b">
        <v>1</v>
      </c>
      <c r="F6" s="16" t="b">
        <v>1</v>
      </c>
      <c r="G6" s="16" t="b">
        <v>0</v>
      </c>
      <c r="H6" s="19">
        <v>6.0</v>
      </c>
      <c r="I6" s="20" t="s">
        <v>18</v>
      </c>
    </row>
    <row r="7">
      <c r="B7" s="14" t="s">
        <v>15</v>
      </c>
      <c r="C7" s="14">
        <v>50.0</v>
      </c>
      <c r="D7" s="14" t="s">
        <v>19</v>
      </c>
      <c r="E7" s="16" t="b">
        <v>0</v>
      </c>
      <c r="F7" s="16" t="b">
        <v>0</v>
      </c>
      <c r="G7" s="16" t="b">
        <v>0</v>
      </c>
      <c r="H7" s="19">
        <v>0.0</v>
      </c>
      <c r="I7" s="20" t="s">
        <v>21</v>
      </c>
    </row>
    <row r="8">
      <c r="B8" s="14" t="s">
        <v>15</v>
      </c>
      <c r="C8" s="14">
        <v>50.0</v>
      </c>
      <c r="D8" s="14" t="s">
        <v>22</v>
      </c>
      <c r="E8" s="16" t="b">
        <v>1</v>
      </c>
      <c r="F8" s="16" t="b">
        <v>1</v>
      </c>
      <c r="G8" s="16" t="b">
        <v>1</v>
      </c>
      <c r="H8" s="19">
        <v>10.0</v>
      </c>
      <c r="I8" s="20" t="s">
        <v>26</v>
      </c>
    </row>
    <row r="9">
      <c r="B9" s="14" t="s">
        <v>15</v>
      </c>
      <c r="C9" s="14">
        <v>50.0</v>
      </c>
      <c r="D9" s="14" t="s">
        <v>28</v>
      </c>
      <c r="E9" s="16" t="b">
        <v>1</v>
      </c>
      <c r="F9" s="16" t="b">
        <v>1</v>
      </c>
      <c r="G9" s="16" t="b">
        <v>1</v>
      </c>
      <c r="H9" s="19">
        <v>10.0</v>
      </c>
      <c r="I9" s="20"/>
    </row>
    <row r="10">
      <c r="B10" s="14" t="s">
        <v>15</v>
      </c>
      <c r="C10" s="14">
        <v>50.0</v>
      </c>
      <c r="D10" s="14" t="s">
        <v>31</v>
      </c>
      <c r="E10" s="16" t="b">
        <v>1</v>
      </c>
      <c r="F10" s="16" t="b">
        <v>1</v>
      </c>
      <c r="G10" s="16" t="b">
        <v>1</v>
      </c>
      <c r="H10" s="19">
        <v>10.0</v>
      </c>
      <c r="I10" s="21"/>
    </row>
    <row r="11">
      <c r="B11" s="30" t="s">
        <v>15</v>
      </c>
      <c r="C11" s="30">
        <v>100.0</v>
      </c>
      <c r="D11" s="30" t="s">
        <v>16</v>
      </c>
      <c r="E11" s="32" t="b">
        <v>1</v>
      </c>
      <c r="F11" s="32" t="b">
        <v>1</v>
      </c>
      <c r="G11" s="32" t="b">
        <v>1</v>
      </c>
      <c r="H11" s="33">
        <v>10.0</v>
      </c>
      <c r="I11" s="34"/>
    </row>
    <row r="12">
      <c r="B12" s="30" t="s">
        <v>15</v>
      </c>
      <c r="C12" s="30">
        <v>100.0</v>
      </c>
      <c r="D12" s="30" t="s">
        <v>19</v>
      </c>
      <c r="E12" s="32" t="b">
        <v>1</v>
      </c>
      <c r="F12" s="32" t="b">
        <v>1</v>
      </c>
      <c r="G12" s="32" t="b">
        <v>0</v>
      </c>
      <c r="H12" s="33">
        <v>6.0</v>
      </c>
      <c r="I12" s="35" t="s">
        <v>38</v>
      </c>
    </row>
    <row r="13">
      <c r="B13" s="30" t="s">
        <v>15</v>
      </c>
      <c r="C13" s="30">
        <v>100.0</v>
      </c>
      <c r="D13" s="30" t="s">
        <v>22</v>
      </c>
      <c r="E13" s="32" t="b">
        <v>1</v>
      </c>
      <c r="F13" s="32" t="b">
        <v>1</v>
      </c>
      <c r="G13" s="32" t="b">
        <v>0</v>
      </c>
      <c r="H13" s="33">
        <v>6.0</v>
      </c>
      <c r="I13" s="35" t="s">
        <v>42</v>
      </c>
    </row>
    <row r="14">
      <c r="B14" s="30" t="s">
        <v>15</v>
      </c>
      <c r="C14" s="30">
        <v>100.0</v>
      </c>
      <c r="D14" s="30" t="s">
        <v>28</v>
      </c>
      <c r="E14" s="32" t="b">
        <v>1</v>
      </c>
      <c r="F14" s="32" t="b">
        <v>1</v>
      </c>
      <c r="G14" s="32" t="b">
        <v>0</v>
      </c>
      <c r="H14" s="33">
        <v>6.0</v>
      </c>
      <c r="I14" s="35" t="s">
        <v>38</v>
      </c>
    </row>
    <row r="15">
      <c r="B15" s="30" t="s">
        <v>15</v>
      </c>
      <c r="C15" s="30">
        <v>100.0</v>
      </c>
      <c r="D15" s="30" t="s">
        <v>31</v>
      </c>
      <c r="E15" s="32" t="b">
        <v>1</v>
      </c>
      <c r="F15" s="32" t="b">
        <v>1</v>
      </c>
      <c r="G15" s="32" t="b">
        <v>0</v>
      </c>
      <c r="H15" s="33">
        <v>6.0</v>
      </c>
      <c r="I15" s="35" t="s">
        <v>44</v>
      </c>
    </row>
    <row r="16">
      <c r="B16" s="41" t="s">
        <v>15</v>
      </c>
      <c r="C16" s="42">
        <v>200.0</v>
      </c>
      <c r="D16" s="41" t="s">
        <v>16</v>
      </c>
      <c r="E16" s="43" t="b">
        <v>1</v>
      </c>
      <c r="F16" s="43" t="b">
        <v>1</v>
      </c>
      <c r="G16" s="43" t="b">
        <v>1</v>
      </c>
      <c r="H16" s="42">
        <v>10.0</v>
      </c>
      <c r="I16" s="45"/>
    </row>
    <row r="17">
      <c r="B17" s="41" t="s">
        <v>15</v>
      </c>
      <c r="C17" s="42">
        <v>200.0</v>
      </c>
      <c r="D17" s="41" t="s">
        <v>19</v>
      </c>
      <c r="E17" s="43" t="b">
        <v>1</v>
      </c>
      <c r="F17" s="43" t="b">
        <v>1</v>
      </c>
      <c r="G17" s="43" t="b">
        <v>0</v>
      </c>
      <c r="H17" s="42">
        <v>6.0</v>
      </c>
      <c r="I17" s="46" t="s">
        <v>38</v>
      </c>
    </row>
    <row r="18">
      <c r="B18" s="41" t="s">
        <v>15</v>
      </c>
      <c r="C18" s="42">
        <v>200.0</v>
      </c>
      <c r="D18" s="41" t="s">
        <v>22</v>
      </c>
      <c r="E18" s="43" t="b">
        <v>1</v>
      </c>
      <c r="F18" s="43" t="b">
        <v>1</v>
      </c>
      <c r="G18" s="43" t="b">
        <v>1</v>
      </c>
      <c r="H18" s="42">
        <v>10.0</v>
      </c>
      <c r="I18" s="45"/>
    </row>
    <row r="19">
      <c r="B19" s="41" t="s">
        <v>15</v>
      </c>
      <c r="C19" s="42">
        <v>200.0</v>
      </c>
      <c r="D19" s="41" t="s">
        <v>28</v>
      </c>
      <c r="E19" s="43" t="b">
        <v>1</v>
      </c>
      <c r="F19" s="43" t="b">
        <v>1</v>
      </c>
      <c r="G19" s="43" t="b">
        <v>1</v>
      </c>
      <c r="H19" s="42">
        <v>10.0</v>
      </c>
      <c r="I19" s="45"/>
    </row>
    <row r="20">
      <c r="B20" s="41" t="s">
        <v>15</v>
      </c>
      <c r="C20" s="42">
        <v>200.0</v>
      </c>
      <c r="D20" s="41" t="s">
        <v>31</v>
      </c>
      <c r="E20" s="43" t="b">
        <v>1</v>
      </c>
      <c r="F20" s="43" t="b">
        <v>1</v>
      </c>
      <c r="G20" s="43" t="b">
        <v>0</v>
      </c>
      <c r="H20" s="42">
        <v>6.0</v>
      </c>
      <c r="I20" s="46" t="s">
        <v>38</v>
      </c>
    </row>
    <row r="21" ht="15.75" customHeight="1">
      <c r="B21" s="53" t="s">
        <v>51</v>
      </c>
      <c r="C21" s="53">
        <v>50.0</v>
      </c>
      <c r="D21" s="53" t="s">
        <v>16</v>
      </c>
      <c r="E21" s="54" t="b">
        <v>1</v>
      </c>
      <c r="F21" s="54" t="b">
        <v>1</v>
      </c>
      <c r="G21" s="54" t="b">
        <v>1</v>
      </c>
      <c r="H21" s="55">
        <v>10.0</v>
      </c>
      <c r="I21" s="56" t="s">
        <v>54</v>
      </c>
    </row>
    <row r="22" ht="15.75" customHeight="1">
      <c r="B22" s="53" t="s">
        <v>51</v>
      </c>
      <c r="C22" s="53">
        <v>50.0</v>
      </c>
      <c r="D22" s="53" t="s">
        <v>19</v>
      </c>
      <c r="E22" s="54" t="b">
        <v>1</v>
      </c>
      <c r="F22" s="54" t="b">
        <v>1</v>
      </c>
      <c r="G22" s="54" t="b">
        <v>1</v>
      </c>
      <c r="H22" s="55">
        <v>10.0</v>
      </c>
      <c r="I22" s="57"/>
    </row>
    <row r="23" ht="15.75" customHeight="1">
      <c r="B23" s="53" t="s">
        <v>51</v>
      </c>
      <c r="C23" s="53">
        <v>50.0</v>
      </c>
      <c r="D23" s="53" t="s">
        <v>22</v>
      </c>
      <c r="E23" s="54" t="b">
        <v>1</v>
      </c>
      <c r="F23" s="54" t="b">
        <v>1</v>
      </c>
      <c r="G23" s="54" t="b">
        <v>1</v>
      </c>
      <c r="H23" s="55">
        <v>10.0</v>
      </c>
      <c r="I23" s="57"/>
    </row>
    <row r="24" ht="15.75" customHeight="1">
      <c r="B24" s="53" t="s">
        <v>51</v>
      </c>
      <c r="C24" s="53">
        <v>50.0</v>
      </c>
      <c r="D24" s="53" t="s">
        <v>28</v>
      </c>
      <c r="E24" s="54" t="b">
        <v>1</v>
      </c>
      <c r="F24" s="54" t="b">
        <v>1</v>
      </c>
      <c r="G24" s="54" t="b">
        <v>1</v>
      </c>
      <c r="H24" s="55">
        <v>10.0</v>
      </c>
      <c r="I24" s="56" t="s">
        <v>58</v>
      </c>
    </row>
    <row r="25" ht="15.75" customHeight="1">
      <c r="B25" s="53" t="s">
        <v>51</v>
      </c>
      <c r="C25" s="53">
        <v>50.0</v>
      </c>
      <c r="D25" s="53" t="s">
        <v>31</v>
      </c>
      <c r="E25" s="54" t="b">
        <v>1</v>
      </c>
      <c r="F25" s="54" t="b">
        <v>1</v>
      </c>
      <c r="G25" s="54" t="b">
        <v>0</v>
      </c>
      <c r="H25" s="55">
        <v>6.0</v>
      </c>
      <c r="I25" s="56" t="s">
        <v>62</v>
      </c>
    </row>
    <row r="26" ht="15.75" customHeight="1">
      <c r="B26" s="62" t="s">
        <v>51</v>
      </c>
      <c r="C26" s="62">
        <v>100.0</v>
      </c>
      <c r="D26" s="62" t="s">
        <v>16</v>
      </c>
      <c r="E26" s="63" t="b">
        <v>1</v>
      </c>
      <c r="F26" s="63" t="b">
        <v>1</v>
      </c>
      <c r="G26" s="63" t="b">
        <v>1</v>
      </c>
      <c r="H26" s="64">
        <v>10.0</v>
      </c>
      <c r="I26" s="65" t="s">
        <v>63</v>
      </c>
    </row>
    <row r="27" ht="15.75" customHeight="1">
      <c r="B27" s="62" t="s">
        <v>51</v>
      </c>
      <c r="C27" s="62">
        <v>100.0</v>
      </c>
      <c r="D27" s="62" t="s">
        <v>19</v>
      </c>
      <c r="E27" s="63" t="b">
        <v>1</v>
      </c>
      <c r="F27" s="63" t="b">
        <v>1</v>
      </c>
      <c r="G27" s="63" t="b">
        <v>1</v>
      </c>
      <c r="H27" s="64">
        <v>10.0</v>
      </c>
      <c r="I27" s="66"/>
    </row>
    <row r="28" ht="15.75" customHeight="1">
      <c r="B28" s="62" t="s">
        <v>51</v>
      </c>
      <c r="C28" s="62">
        <v>100.0</v>
      </c>
      <c r="D28" s="62" t="s">
        <v>22</v>
      </c>
      <c r="E28" s="63" t="b">
        <v>1</v>
      </c>
      <c r="F28" s="63" t="b">
        <v>1</v>
      </c>
      <c r="G28" s="63" t="b">
        <v>0</v>
      </c>
      <c r="H28" s="64">
        <v>6.0</v>
      </c>
      <c r="I28" s="65" t="s">
        <v>67</v>
      </c>
    </row>
    <row r="29" ht="15.75" customHeight="1">
      <c r="B29" s="62" t="s">
        <v>51</v>
      </c>
      <c r="C29" s="62">
        <v>100.0</v>
      </c>
      <c r="D29" s="62" t="s">
        <v>28</v>
      </c>
      <c r="E29" s="63" t="b">
        <v>1</v>
      </c>
      <c r="F29" s="63" t="b">
        <v>1</v>
      </c>
      <c r="G29" s="63" t="b">
        <v>0</v>
      </c>
      <c r="H29" s="64">
        <v>6.0</v>
      </c>
      <c r="I29" s="65" t="s">
        <v>69</v>
      </c>
    </row>
    <row r="30" ht="15.75" customHeight="1">
      <c r="B30" s="62" t="s">
        <v>51</v>
      </c>
      <c r="C30" s="62">
        <v>100.0</v>
      </c>
      <c r="D30" s="62" t="s">
        <v>31</v>
      </c>
      <c r="E30" s="63" t="b">
        <v>1</v>
      </c>
      <c r="F30" s="63" t="b">
        <v>1</v>
      </c>
      <c r="G30" s="63" t="b">
        <v>0</v>
      </c>
      <c r="H30" s="64">
        <v>6.0</v>
      </c>
      <c r="I30" s="65" t="s">
        <v>67</v>
      </c>
    </row>
    <row r="31" ht="15.75" customHeight="1">
      <c r="B31" s="69" t="s">
        <v>51</v>
      </c>
      <c r="C31" s="70">
        <v>200.0</v>
      </c>
      <c r="D31" s="69" t="s">
        <v>16</v>
      </c>
      <c r="E31" s="71" t="b">
        <v>1</v>
      </c>
      <c r="F31" s="71" t="b">
        <v>1</v>
      </c>
      <c r="G31" s="71" t="b">
        <v>0</v>
      </c>
      <c r="H31" s="70">
        <v>6.0</v>
      </c>
      <c r="I31" s="72" t="s">
        <v>73</v>
      </c>
    </row>
    <row r="32" ht="15.75" customHeight="1">
      <c r="B32" s="69" t="s">
        <v>51</v>
      </c>
      <c r="C32" s="70">
        <v>200.0</v>
      </c>
      <c r="D32" s="69" t="s">
        <v>19</v>
      </c>
      <c r="E32" s="71" t="b">
        <v>0</v>
      </c>
      <c r="F32" s="71" t="b">
        <v>0</v>
      </c>
      <c r="G32" s="71" t="b">
        <v>0</v>
      </c>
      <c r="H32" s="69">
        <f t="shared" ref="H32:H33" si="1">(E32="TRUE")*2+(F32="TRUE")*4+(G32="TRUE")*4</f>
        <v>0</v>
      </c>
      <c r="I32" s="72" t="s">
        <v>78</v>
      </c>
    </row>
    <row r="33" ht="15.75" customHeight="1">
      <c r="B33" s="69" t="s">
        <v>51</v>
      </c>
      <c r="C33" s="70">
        <v>200.0</v>
      </c>
      <c r="D33" s="69" t="s">
        <v>22</v>
      </c>
      <c r="E33" s="71" t="b">
        <v>0</v>
      </c>
      <c r="F33" s="71" t="b">
        <v>0</v>
      </c>
      <c r="G33" s="71" t="b">
        <v>0</v>
      </c>
      <c r="H33" s="69">
        <f t="shared" si="1"/>
        <v>0</v>
      </c>
      <c r="I33" s="72" t="s">
        <v>78</v>
      </c>
    </row>
    <row r="34" ht="15.75" customHeight="1">
      <c r="B34" s="69" t="s">
        <v>51</v>
      </c>
      <c r="C34" s="70">
        <v>200.0</v>
      </c>
      <c r="D34" s="69" t="s">
        <v>28</v>
      </c>
      <c r="E34" s="71" t="b">
        <v>1</v>
      </c>
      <c r="F34" s="71" t="b">
        <v>1</v>
      </c>
      <c r="G34" s="71" t="b">
        <v>0</v>
      </c>
      <c r="H34" s="70">
        <v>6.0</v>
      </c>
      <c r="I34" s="72" t="s">
        <v>82</v>
      </c>
    </row>
    <row r="35" ht="15.75" customHeight="1">
      <c r="B35" s="69" t="s">
        <v>51</v>
      </c>
      <c r="C35" s="70">
        <v>200.0</v>
      </c>
      <c r="D35" s="69" t="s">
        <v>31</v>
      </c>
      <c r="E35" s="71" t="b">
        <v>1</v>
      </c>
      <c r="F35" s="71" t="b">
        <v>1</v>
      </c>
      <c r="G35" s="71" t="b">
        <v>0</v>
      </c>
      <c r="H35" s="70">
        <v>6.0</v>
      </c>
      <c r="I35" s="72" t="s">
        <v>82</v>
      </c>
    </row>
    <row r="36" ht="15.75" customHeight="1">
      <c r="B36" s="79" t="s">
        <v>59</v>
      </c>
      <c r="C36" s="79">
        <v>50.0</v>
      </c>
      <c r="D36" s="79" t="s">
        <v>16</v>
      </c>
      <c r="E36" s="81" t="b">
        <v>0</v>
      </c>
      <c r="F36" s="81" t="b">
        <v>0</v>
      </c>
      <c r="G36" s="81" t="b">
        <v>0</v>
      </c>
      <c r="H36" s="79">
        <f t="shared" ref="H36:H50" si="2">(E36="TRUE")*2+(F36="TRUE")*4+(G36="TRUE")*4</f>
        <v>0</v>
      </c>
      <c r="I36" s="82" t="s">
        <v>84</v>
      </c>
    </row>
    <row r="37" ht="15.75" customHeight="1">
      <c r="B37" s="79" t="s">
        <v>59</v>
      </c>
      <c r="C37" s="79">
        <v>50.0</v>
      </c>
      <c r="D37" s="79" t="s">
        <v>19</v>
      </c>
      <c r="E37" s="81" t="b">
        <v>0</v>
      </c>
      <c r="F37" s="81" t="b">
        <v>0</v>
      </c>
      <c r="G37" s="81" t="b">
        <v>0</v>
      </c>
      <c r="H37" s="79">
        <f t="shared" si="2"/>
        <v>0</v>
      </c>
      <c r="I37" s="82" t="s">
        <v>84</v>
      </c>
    </row>
    <row r="38" ht="15.75" customHeight="1">
      <c r="B38" s="79" t="s">
        <v>59</v>
      </c>
      <c r="C38" s="79">
        <v>50.0</v>
      </c>
      <c r="D38" s="79" t="s">
        <v>22</v>
      </c>
      <c r="E38" s="81" t="b">
        <v>0</v>
      </c>
      <c r="F38" s="81" t="b">
        <v>0</v>
      </c>
      <c r="G38" s="81" t="b">
        <v>0</v>
      </c>
      <c r="H38" s="79">
        <f t="shared" si="2"/>
        <v>0</v>
      </c>
      <c r="I38" s="82" t="s">
        <v>84</v>
      </c>
    </row>
    <row r="39" ht="15.75" customHeight="1">
      <c r="B39" s="79" t="s">
        <v>59</v>
      </c>
      <c r="C39" s="79">
        <v>50.0</v>
      </c>
      <c r="D39" s="79" t="s">
        <v>28</v>
      </c>
      <c r="E39" s="81" t="b">
        <v>0</v>
      </c>
      <c r="F39" s="81" t="b">
        <v>0</v>
      </c>
      <c r="G39" s="81" t="b">
        <v>0</v>
      </c>
      <c r="H39" s="79">
        <f t="shared" si="2"/>
        <v>0</v>
      </c>
      <c r="I39" s="82" t="s">
        <v>84</v>
      </c>
    </row>
    <row r="40" ht="15.75" customHeight="1">
      <c r="B40" s="79" t="s">
        <v>59</v>
      </c>
      <c r="C40" s="79">
        <v>50.0</v>
      </c>
      <c r="D40" s="79" t="s">
        <v>31</v>
      </c>
      <c r="E40" s="81" t="b">
        <v>0</v>
      </c>
      <c r="F40" s="81" t="b">
        <v>0</v>
      </c>
      <c r="G40" s="81" t="b">
        <v>0</v>
      </c>
      <c r="H40" s="79">
        <f t="shared" si="2"/>
        <v>0</v>
      </c>
      <c r="I40" s="82" t="s">
        <v>84</v>
      </c>
    </row>
    <row r="41" ht="15.75" customHeight="1">
      <c r="B41" s="83" t="s">
        <v>59</v>
      </c>
      <c r="C41" s="83">
        <v>100.0</v>
      </c>
      <c r="D41" s="83" t="s">
        <v>16</v>
      </c>
      <c r="E41" s="85" t="b">
        <v>0</v>
      </c>
      <c r="F41" s="85" t="b">
        <v>0</v>
      </c>
      <c r="G41" s="85" t="b">
        <v>0</v>
      </c>
      <c r="H41" s="83">
        <f t="shared" si="2"/>
        <v>0</v>
      </c>
      <c r="I41" s="87" t="s">
        <v>87</v>
      </c>
    </row>
    <row r="42" ht="15.75" customHeight="1">
      <c r="B42" s="83" t="s">
        <v>59</v>
      </c>
      <c r="C42" s="83">
        <v>100.0</v>
      </c>
      <c r="D42" s="83" t="s">
        <v>19</v>
      </c>
      <c r="E42" s="85" t="b">
        <v>0</v>
      </c>
      <c r="F42" s="85" t="b">
        <v>0</v>
      </c>
      <c r="G42" s="85" t="b">
        <v>0</v>
      </c>
      <c r="H42" s="83">
        <f t="shared" si="2"/>
        <v>0</v>
      </c>
      <c r="I42" s="87" t="s">
        <v>87</v>
      </c>
    </row>
    <row r="43" ht="15.75" customHeight="1">
      <c r="B43" s="83" t="s">
        <v>59</v>
      </c>
      <c r="C43" s="83">
        <v>100.0</v>
      </c>
      <c r="D43" s="83" t="s">
        <v>22</v>
      </c>
      <c r="E43" s="85" t="b">
        <v>0</v>
      </c>
      <c r="F43" s="85" t="b">
        <v>0</v>
      </c>
      <c r="G43" s="85" t="b">
        <v>0</v>
      </c>
      <c r="H43" s="83">
        <f t="shared" si="2"/>
        <v>0</v>
      </c>
      <c r="I43" s="87" t="s">
        <v>87</v>
      </c>
    </row>
    <row r="44" ht="15.75" customHeight="1">
      <c r="B44" s="83" t="s">
        <v>59</v>
      </c>
      <c r="C44" s="83">
        <v>100.0</v>
      </c>
      <c r="D44" s="83" t="s">
        <v>28</v>
      </c>
      <c r="E44" s="85" t="b">
        <v>0</v>
      </c>
      <c r="F44" s="85" t="b">
        <v>0</v>
      </c>
      <c r="G44" s="85" t="b">
        <v>0</v>
      </c>
      <c r="H44" s="83">
        <f t="shared" si="2"/>
        <v>0</v>
      </c>
      <c r="I44" s="87" t="s">
        <v>87</v>
      </c>
    </row>
    <row r="45" ht="15.75" customHeight="1">
      <c r="B45" s="83" t="s">
        <v>59</v>
      </c>
      <c r="C45" s="83">
        <v>100.0</v>
      </c>
      <c r="D45" s="83" t="s">
        <v>31</v>
      </c>
      <c r="E45" s="85" t="b">
        <v>0</v>
      </c>
      <c r="F45" s="85" t="b">
        <v>0</v>
      </c>
      <c r="G45" s="85" t="b">
        <v>0</v>
      </c>
      <c r="H45" s="83">
        <f t="shared" si="2"/>
        <v>0</v>
      </c>
      <c r="I45" s="87" t="s">
        <v>87</v>
      </c>
    </row>
    <row r="46" ht="15.75" customHeight="1">
      <c r="B46" s="89" t="s">
        <v>59</v>
      </c>
      <c r="C46" s="90">
        <v>200.0</v>
      </c>
      <c r="D46" s="89" t="s">
        <v>16</v>
      </c>
      <c r="E46" s="91" t="b">
        <v>0</v>
      </c>
      <c r="F46" s="91" t="b">
        <v>0</v>
      </c>
      <c r="G46" s="91" t="b">
        <v>0</v>
      </c>
      <c r="H46" s="89">
        <f t="shared" si="2"/>
        <v>0</v>
      </c>
      <c r="I46" s="92" t="s">
        <v>94</v>
      </c>
    </row>
    <row r="47" ht="15.75" customHeight="1">
      <c r="B47" s="89" t="s">
        <v>59</v>
      </c>
      <c r="C47" s="90">
        <v>200.0</v>
      </c>
      <c r="D47" s="89" t="s">
        <v>19</v>
      </c>
      <c r="E47" s="91" t="b">
        <v>0</v>
      </c>
      <c r="F47" s="91" t="b">
        <v>0</v>
      </c>
      <c r="G47" s="91" t="b">
        <v>0</v>
      </c>
      <c r="H47" s="89">
        <f t="shared" si="2"/>
        <v>0</v>
      </c>
      <c r="I47" s="92" t="s">
        <v>94</v>
      </c>
    </row>
    <row r="48" ht="15.75" customHeight="1">
      <c r="B48" s="89" t="s">
        <v>59</v>
      </c>
      <c r="C48" s="90">
        <v>200.0</v>
      </c>
      <c r="D48" s="89" t="s">
        <v>22</v>
      </c>
      <c r="E48" s="91" t="b">
        <v>0</v>
      </c>
      <c r="F48" s="91" t="b">
        <v>0</v>
      </c>
      <c r="G48" s="91" t="b">
        <v>0</v>
      </c>
      <c r="H48" s="89">
        <f t="shared" si="2"/>
        <v>0</v>
      </c>
      <c r="I48" s="92" t="s">
        <v>94</v>
      </c>
    </row>
    <row r="49" ht="15.75" customHeight="1">
      <c r="B49" s="89" t="s">
        <v>59</v>
      </c>
      <c r="C49" s="90">
        <v>200.0</v>
      </c>
      <c r="D49" s="89" t="s">
        <v>28</v>
      </c>
      <c r="E49" s="91" t="b">
        <v>0</v>
      </c>
      <c r="F49" s="91" t="b">
        <v>0</v>
      </c>
      <c r="G49" s="91" t="b">
        <v>0</v>
      </c>
      <c r="H49" s="89">
        <f t="shared" si="2"/>
        <v>0</v>
      </c>
      <c r="I49" s="92" t="s">
        <v>94</v>
      </c>
    </row>
    <row r="50" ht="15.75" customHeight="1">
      <c r="B50" s="89" t="s">
        <v>59</v>
      </c>
      <c r="C50" s="90">
        <v>200.0</v>
      </c>
      <c r="D50" s="89" t="s">
        <v>31</v>
      </c>
      <c r="E50" s="91" t="b">
        <v>0</v>
      </c>
      <c r="F50" s="91" t="b">
        <v>0</v>
      </c>
      <c r="G50" s="91" t="b">
        <v>0</v>
      </c>
      <c r="H50" s="89">
        <f t="shared" si="2"/>
        <v>0</v>
      </c>
      <c r="I50" s="92" t="s">
        <v>94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I2"/>
    <mergeCell ref="B3:I3"/>
  </mergeCells>
  <dataValidations>
    <dataValidation type="list" allowBlank="1" sqref="E6:G50">
      <formula1>"TRUE,FALSE"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8.71"/>
    <col customWidth="1" min="2" max="2" width="10.0"/>
    <col customWidth="1" min="3" max="3" width="16.0"/>
    <col customWidth="1" min="4" max="4" width="12.0"/>
    <col customWidth="1" min="5" max="7" width="20.0"/>
    <col customWidth="1" min="8" max="8" width="14.0"/>
    <col customWidth="1" min="9" max="9" width="89.71"/>
  </cols>
  <sheetData>
    <row r="2" ht="27.75" customHeight="1">
      <c r="B2" s="2" t="s">
        <v>1</v>
      </c>
      <c r="C2" s="3"/>
      <c r="D2" s="3"/>
      <c r="E2" s="3"/>
      <c r="F2" s="3"/>
      <c r="G2" s="3"/>
      <c r="H2" s="3"/>
      <c r="I2" s="5"/>
    </row>
    <row r="3" ht="15.0" customHeight="1">
      <c r="B3" s="6" t="s">
        <v>3</v>
      </c>
    </row>
    <row r="5" ht="27.75" customHeight="1">
      <c r="B5" s="8" t="s">
        <v>6</v>
      </c>
      <c r="C5" s="8" t="s">
        <v>7</v>
      </c>
      <c r="D5" s="8" t="s">
        <v>8</v>
      </c>
      <c r="E5" s="11" t="s">
        <v>9</v>
      </c>
      <c r="F5" s="8" t="s">
        <v>10</v>
      </c>
      <c r="G5" s="13" t="s">
        <v>12</v>
      </c>
      <c r="H5" s="8" t="s">
        <v>13</v>
      </c>
      <c r="I5" s="8" t="s">
        <v>14</v>
      </c>
    </row>
    <row r="6">
      <c r="B6" s="14" t="s">
        <v>15</v>
      </c>
      <c r="C6" s="14">
        <v>50.0</v>
      </c>
      <c r="D6" s="14" t="s">
        <v>16</v>
      </c>
      <c r="E6" s="16" t="b">
        <v>1</v>
      </c>
      <c r="F6" s="16" t="b">
        <v>1</v>
      </c>
      <c r="G6" s="16" t="b">
        <v>1</v>
      </c>
      <c r="H6" s="19">
        <v>10.0</v>
      </c>
      <c r="I6" s="21"/>
    </row>
    <row r="7">
      <c r="B7" s="14" t="s">
        <v>15</v>
      </c>
      <c r="C7" s="14">
        <v>50.0</v>
      </c>
      <c r="D7" s="14" t="s">
        <v>19</v>
      </c>
      <c r="E7" s="16" t="b">
        <v>1</v>
      </c>
      <c r="F7" s="16" t="b">
        <v>1</v>
      </c>
      <c r="G7" s="16" t="b">
        <v>1</v>
      </c>
      <c r="H7" s="19">
        <v>10.0</v>
      </c>
      <c r="I7" s="20" t="s">
        <v>23</v>
      </c>
    </row>
    <row r="8">
      <c r="B8" s="14" t="s">
        <v>15</v>
      </c>
      <c r="C8" s="14">
        <v>50.0</v>
      </c>
      <c r="D8" s="14" t="s">
        <v>22</v>
      </c>
      <c r="E8" s="16" t="b">
        <v>1</v>
      </c>
      <c r="F8" s="16" t="b">
        <v>1</v>
      </c>
      <c r="G8" s="16" t="b">
        <v>1</v>
      </c>
      <c r="H8" s="19">
        <v>10.0</v>
      </c>
      <c r="I8" s="21"/>
    </row>
    <row r="9">
      <c r="B9" s="14" t="s">
        <v>15</v>
      </c>
      <c r="C9" s="14">
        <v>50.0</v>
      </c>
      <c r="D9" s="14" t="s">
        <v>28</v>
      </c>
      <c r="E9" s="16" t="b">
        <v>1</v>
      </c>
      <c r="F9" s="16" t="b">
        <v>1</v>
      </c>
      <c r="G9" s="16" t="b">
        <v>0</v>
      </c>
      <c r="H9" s="19">
        <v>6.0</v>
      </c>
      <c r="I9" s="20" t="s">
        <v>32</v>
      </c>
    </row>
    <row r="10">
      <c r="B10" s="14" t="s">
        <v>15</v>
      </c>
      <c r="C10" s="14">
        <v>50.0</v>
      </c>
      <c r="D10" s="14" t="s">
        <v>31</v>
      </c>
      <c r="E10" s="16" t="b">
        <v>1</v>
      </c>
      <c r="F10" s="16" t="b">
        <v>1</v>
      </c>
      <c r="G10" s="16" t="b">
        <v>1</v>
      </c>
      <c r="H10" s="19">
        <v>10.0</v>
      </c>
      <c r="I10" s="21"/>
    </row>
    <row r="11">
      <c r="B11" s="30" t="s">
        <v>15</v>
      </c>
      <c r="C11" s="30">
        <v>100.0</v>
      </c>
      <c r="D11" s="30" t="s">
        <v>16</v>
      </c>
      <c r="E11" s="32" t="b">
        <v>1</v>
      </c>
      <c r="F11" s="32" t="b">
        <v>1</v>
      </c>
      <c r="G11" s="32" t="b">
        <v>1</v>
      </c>
      <c r="H11" s="33">
        <v>10.0</v>
      </c>
      <c r="I11" s="34"/>
    </row>
    <row r="12">
      <c r="B12" s="30" t="s">
        <v>15</v>
      </c>
      <c r="C12" s="30">
        <v>100.0</v>
      </c>
      <c r="D12" s="30" t="s">
        <v>19</v>
      </c>
      <c r="E12" s="32" t="b">
        <v>1</v>
      </c>
      <c r="F12" s="32" t="b">
        <v>1</v>
      </c>
      <c r="G12" s="32" t="b">
        <v>1</v>
      </c>
      <c r="H12" s="33">
        <v>10.0</v>
      </c>
      <c r="I12" s="34"/>
    </row>
    <row r="13">
      <c r="B13" s="30" t="s">
        <v>15</v>
      </c>
      <c r="C13" s="30">
        <v>100.0</v>
      </c>
      <c r="D13" s="30" t="s">
        <v>22</v>
      </c>
      <c r="E13" s="32" t="b">
        <v>1</v>
      </c>
      <c r="F13" s="32" t="b">
        <v>1</v>
      </c>
      <c r="G13" s="32" t="b">
        <v>1</v>
      </c>
      <c r="H13" s="33">
        <v>10.0</v>
      </c>
      <c r="I13" s="35" t="s">
        <v>43</v>
      </c>
    </row>
    <row r="14">
      <c r="B14" s="30" t="s">
        <v>15</v>
      </c>
      <c r="C14" s="30">
        <v>100.0</v>
      </c>
      <c r="D14" s="30" t="s">
        <v>28</v>
      </c>
      <c r="E14" s="32" t="b">
        <v>1</v>
      </c>
      <c r="F14" s="32" t="b">
        <v>1</v>
      </c>
      <c r="G14" s="32" t="b">
        <v>1</v>
      </c>
      <c r="H14" s="33">
        <v>10.0</v>
      </c>
      <c r="I14" s="34"/>
    </row>
    <row r="15">
      <c r="B15" s="30" t="s">
        <v>15</v>
      </c>
      <c r="C15" s="30">
        <v>100.0</v>
      </c>
      <c r="D15" s="30" t="s">
        <v>31</v>
      </c>
      <c r="E15" s="32" t="b">
        <v>1</v>
      </c>
      <c r="F15" s="32" t="b">
        <v>1</v>
      </c>
      <c r="G15" s="32" t="b">
        <v>0</v>
      </c>
      <c r="H15" s="33">
        <v>6.0</v>
      </c>
      <c r="I15" s="35" t="s">
        <v>45</v>
      </c>
    </row>
    <row r="16">
      <c r="B16" s="41" t="s">
        <v>15</v>
      </c>
      <c r="C16" s="42">
        <v>200.0</v>
      </c>
      <c r="D16" s="41" t="s">
        <v>16</v>
      </c>
      <c r="E16" s="43" t="b">
        <v>1</v>
      </c>
      <c r="F16" s="43" t="b">
        <v>1</v>
      </c>
      <c r="G16" s="43" t="b">
        <v>1</v>
      </c>
      <c r="H16" s="42">
        <v>10.0</v>
      </c>
      <c r="I16" s="45"/>
    </row>
    <row r="17">
      <c r="B17" s="41" t="s">
        <v>15</v>
      </c>
      <c r="C17" s="42">
        <v>200.0</v>
      </c>
      <c r="D17" s="41" t="s">
        <v>19</v>
      </c>
      <c r="E17" s="43" t="b">
        <v>1</v>
      </c>
      <c r="F17" s="43" t="b">
        <v>1</v>
      </c>
      <c r="G17" s="43" t="b">
        <v>1</v>
      </c>
      <c r="H17" s="42">
        <v>10.0</v>
      </c>
      <c r="I17" s="45"/>
    </row>
    <row r="18">
      <c r="B18" s="41" t="s">
        <v>15</v>
      </c>
      <c r="C18" s="42">
        <v>200.0</v>
      </c>
      <c r="D18" s="41" t="s">
        <v>22</v>
      </c>
      <c r="E18" s="43" t="b">
        <v>1</v>
      </c>
      <c r="F18" s="43" t="b">
        <v>1</v>
      </c>
      <c r="G18" s="43" t="b">
        <v>1</v>
      </c>
      <c r="H18" s="42">
        <v>10.0</v>
      </c>
      <c r="I18" s="45"/>
    </row>
    <row r="19">
      <c r="B19" s="41" t="s">
        <v>15</v>
      </c>
      <c r="C19" s="42">
        <v>200.0</v>
      </c>
      <c r="D19" s="41" t="s">
        <v>28</v>
      </c>
      <c r="E19" s="43" t="b">
        <v>1</v>
      </c>
      <c r="F19" s="43" t="b">
        <v>1</v>
      </c>
      <c r="G19" s="43" t="b">
        <v>1</v>
      </c>
      <c r="H19" s="42">
        <v>10.0</v>
      </c>
      <c r="I19" s="45"/>
    </row>
    <row r="20">
      <c r="B20" s="41" t="s">
        <v>15</v>
      </c>
      <c r="C20" s="42">
        <v>200.0</v>
      </c>
      <c r="D20" s="41" t="s">
        <v>31</v>
      </c>
      <c r="E20" s="43" t="b">
        <v>1</v>
      </c>
      <c r="F20" s="43" t="b">
        <v>1</v>
      </c>
      <c r="G20" s="43" t="b">
        <v>1</v>
      </c>
      <c r="H20" s="42">
        <v>10.0</v>
      </c>
      <c r="I20" s="46" t="s">
        <v>53</v>
      </c>
    </row>
    <row r="21" ht="15.75" customHeight="1">
      <c r="B21" s="53" t="s">
        <v>51</v>
      </c>
      <c r="C21" s="53">
        <v>50.0</v>
      </c>
      <c r="D21" s="53" t="s">
        <v>16</v>
      </c>
      <c r="E21" s="54" t="b">
        <v>1</v>
      </c>
      <c r="F21" s="54" t="b">
        <v>1</v>
      </c>
      <c r="G21" s="54" t="b">
        <v>1</v>
      </c>
      <c r="H21" s="55">
        <v>10.0</v>
      </c>
      <c r="I21" s="57"/>
    </row>
    <row r="22" ht="15.75" customHeight="1">
      <c r="B22" s="53" t="s">
        <v>51</v>
      </c>
      <c r="C22" s="53">
        <v>50.0</v>
      </c>
      <c r="D22" s="53" t="s">
        <v>19</v>
      </c>
      <c r="E22" s="54" t="b">
        <v>1</v>
      </c>
      <c r="F22" s="54" t="b">
        <v>1</v>
      </c>
      <c r="G22" s="54" t="b">
        <v>1</v>
      </c>
      <c r="H22" s="55">
        <v>10.0</v>
      </c>
      <c r="I22" s="57"/>
    </row>
    <row r="23" ht="15.75" customHeight="1">
      <c r="B23" s="53" t="s">
        <v>51</v>
      </c>
      <c r="C23" s="53">
        <v>50.0</v>
      </c>
      <c r="D23" s="53" t="s">
        <v>22</v>
      </c>
      <c r="E23" s="54" t="b">
        <v>1</v>
      </c>
      <c r="F23" s="54" t="b">
        <v>1</v>
      </c>
      <c r="G23" s="54" t="b">
        <v>1</v>
      </c>
      <c r="H23" s="55">
        <v>10.0</v>
      </c>
      <c r="I23" s="57"/>
    </row>
    <row r="24" ht="15.75" customHeight="1">
      <c r="B24" s="53" t="s">
        <v>51</v>
      </c>
      <c r="C24" s="53">
        <v>50.0</v>
      </c>
      <c r="D24" s="53" t="s">
        <v>28</v>
      </c>
      <c r="E24" s="54" t="b">
        <v>1</v>
      </c>
      <c r="F24" s="54" t="b">
        <v>1</v>
      </c>
      <c r="G24" s="54" t="b">
        <v>0</v>
      </c>
      <c r="H24" s="55">
        <v>6.0</v>
      </c>
      <c r="I24" s="56" t="s">
        <v>61</v>
      </c>
    </row>
    <row r="25" ht="15.75" customHeight="1">
      <c r="B25" s="53" t="s">
        <v>51</v>
      </c>
      <c r="C25" s="53">
        <v>50.0</v>
      </c>
      <c r="D25" s="53" t="s">
        <v>31</v>
      </c>
      <c r="E25" s="54" t="b">
        <v>0</v>
      </c>
      <c r="F25" s="54" t="b">
        <v>0</v>
      </c>
      <c r="G25" s="54" t="b">
        <v>0</v>
      </c>
      <c r="H25" s="53">
        <f>(E25="TRUE")*2+(F25="TRUE")*4+(G25="TRUE")*4</f>
        <v>0</v>
      </c>
      <c r="I25" s="56" t="s">
        <v>65</v>
      </c>
    </row>
    <row r="26" ht="15.75" customHeight="1">
      <c r="B26" s="62" t="s">
        <v>51</v>
      </c>
      <c r="C26" s="62">
        <v>100.0</v>
      </c>
      <c r="D26" s="62" t="s">
        <v>16</v>
      </c>
      <c r="E26" s="63" t="b">
        <v>1</v>
      </c>
      <c r="F26" s="63" t="b">
        <v>1</v>
      </c>
      <c r="G26" s="63" t="b">
        <v>1</v>
      </c>
      <c r="H26" s="64">
        <v>10.0</v>
      </c>
      <c r="I26" s="66"/>
    </row>
    <row r="27" ht="15.75" customHeight="1">
      <c r="B27" s="62" t="s">
        <v>51</v>
      </c>
      <c r="C27" s="62">
        <v>100.0</v>
      </c>
      <c r="D27" s="62" t="s">
        <v>19</v>
      </c>
      <c r="E27" s="63" t="b">
        <v>1</v>
      </c>
      <c r="F27" s="63" t="b">
        <v>1</v>
      </c>
      <c r="G27" s="63" t="b">
        <v>0</v>
      </c>
      <c r="H27" s="64">
        <v>6.0</v>
      </c>
      <c r="I27" s="65" t="s">
        <v>71</v>
      </c>
    </row>
    <row r="28" ht="15.75" customHeight="1">
      <c r="B28" s="62" t="s">
        <v>51</v>
      </c>
      <c r="C28" s="62">
        <v>100.0</v>
      </c>
      <c r="D28" s="62" t="s">
        <v>22</v>
      </c>
      <c r="E28" s="63" t="b">
        <v>1</v>
      </c>
      <c r="F28" s="63" t="b">
        <v>1</v>
      </c>
      <c r="G28" s="63" t="b">
        <v>1</v>
      </c>
      <c r="H28" s="64">
        <v>10.0</v>
      </c>
      <c r="I28" s="66"/>
    </row>
    <row r="29" ht="15.75" customHeight="1">
      <c r="B29" s="62" t="s">
        <v>51</v>
      </c>
      <c r="C29" s="62">
        <v>100.0</v>
      </c>
      <c r="D29" s="62" t="s">
        <v>28</v>
      </c>
      <c r="E29" s="63" t="b">
        <v>0</v>
      </c>
      <c r="F29" s="63" t="b">
        <v>0</v>
      </c>
      <c r="G29" s="63" t="b">
        <v>0</v>
      </c>
      <c r="H29" s="62">
        <f>(E29="TRUE")*2+(F29="TRUE")*4+(G29="TRUE")*4</f>
        <v>0</v>
      </c>
      <c r="I29" s="65" t="s">
        <v>77</v>
      </c>
    </row>
    <row r="30" ht="15.75" customHeight="1">
      <c r="B30" s="62" t="s">
        <v>51</v>
      </c>
      <c r="C30" s="62">
        <v>100.0</v>
      </c>
      <c r="D30" s="62" t="s">
        <v>31</v>
      </c>
      <c r="E30" s="63" t="b">
        <v>1</v>
      </c>
      <c r="F30" s="63" t="b">
        <v>1</v>
      </c>
      <c r="G30" s="63" t="b">
        <v>0</v>
      </c>
      <c r="H30" s="64">
        <v>6.0</v>
      </c>
      <c r="I30" s="65" t="s">
        <v>80</v>
      </c>
    </row>
    <row r="31" ht="15.75" customHeight="1">
      <c r="B31" s="69" t="s">
        <v>51</v>
      </c>
      <c r="C31" s="70">
        <v>200.0</v>
      </c>
      <c r="D31" s="69" t="s">
        <v>16</v>
      </c>
      <c r="E31" s="71" t="b">
        <v>1</v>
      </c>
      <c r="F31" s="71" t="b">
        <v>1</v>
      </c>
      <c r="G31" s="71" t="b">
        <v>1</v>
      </c>
      <c r="H31" s="70">
        <v>10.0</v>
      </c>
      <c r="I31" s="77"/>
    </row>
    <row r="32" ht="15.75" customHeight="1">
      <c r="B32" s="69" t="s">
        <v>51</v>
      </c>
      <c r="C32" s="70">
        <v>200.0</v>
      </c>
      <c r="D32" s="69" t="s">
        <v>19</v>
      </c>
      <c r="E32" s="71" t="b">
        <v>1</v>
      </c>
      <c r="F32" s="71" t="b">
        <v>1</v>
      </c>
      <c r="G32" s="71" t="b">
        <v>1</v>
      </c>
      <c r="H32" s="70">
        <v>10.0</v>
      </c>
      <c r="I32" s="77"/>
    </row>
    <row r="33" ht="15.75" customHeight="1">
      <c r="B33" s="69" t="s">
        <v>51</v>
      </c>
      <c r="C33" s="70">
        <v>200.0</v>
      </c>
      <c r="D33" s="69" t="s">
        <v>22</v>
      </c>
      <c r="E33" s="71" t="b">
        <v>1</v>
      </c>
      <c r="F33" s="71" t="b">
        <v>1</v>
      </c>
      <c r="G33" s="71" t="b">
        <v>1</v>
      </c>
      <c r="H33" s="70">
        <v>10.0</v>
      </c>
      <c r="I33" s="77"/>
    </row>
    <row r="34" ht="15.75" customHeight="1">
      <c r="B34" s="69" t="s">
        <v>51</v>
      </c>
      <c r="C34" s="70">
        <v>200.0</v>
      </c>
      <c r="D34" s="69" t="s">
        <v>28</v>
      </c>
      <c r="E34" s="71" t="b">
        <v>1</v>
      </c>
      <c r="F34" s="71" t="b">
        <v>1</v>
      </c>
      <c r="G34" s="71" t="b">
        <v>1</v>
      </c>
      <c r="H34" s="70">
        <v>10.0</v>
      </c>
      <c r="I34" s="77"/>
    </row>
    <row r="35" ht="15.75" customHeight="1">
      <c r="B35" s="69" t="s">
        <v>51</v>
      </c>
      <c r="C35" s="70">
        <v>200.0</v>
      </c>
      <c r="D35" s="69" t="s">
        <v>31</v>
      </c>
      <c r="E35" s="71" t="b">
        <v>1</v>
      </c>
      <c r="F35" s="71" t="b">
        <v>1</v>
      </c>
      <c r="G35" s="71" t="b">
        <v>1</v>
      </c>
      <c r="H35" s="70">
        <v>10.0</v>
      </c>
      <c r="I35" s="77"/>
    </row>
    <row r="36" ht="15.75" customHeight="1">
      <c r="B36" s="79" t="s">
        <v>59</v>
      </c>
      <c r="C36" s="79">
        <v>50.0</v>
      </c>
      <c r="D36" s="79" t="s">
        <v>16</v>
      </c>
      <c r="E36" s="81" t="b">
        <v>0</v>
      </c>
      <c r="F36" s="81" t="b">
        <v>0</v>
      </c>
      <c r="G36" s="81" t="b">
        <v>0</v>
      </c>
      <c r="H36" s="79">
        <f t="shared" ref="H36:H40" si="1">(E36="TRUE")*2+(F36="TRUE")*4+(G36="TRUE")*4</f>
        <v>0</v>
      </c>
      <c r="I36" s="82" t="s">
        <v>88</v>
      </c>
    </row>
    <row r="37" ht="15.75" customHeight="1">
      <c r="B37" s="79" t="s">
        <v>59</v>
      </c>
      <c r="C37" s="79">
        <v>50.0</v>
      </c>
      <c r="D37" s="79" t="s">
        <v>19</v>
      </c>
      <c r="E37" s="81" t="b">
        <v>0</v>
      </c>
      <c r="F37" s="81" t="b">
        <v>0</v>
      </c>
      <c r="G37" s="81" t="b">
        <v>0</v>
      </c>
      <c r="H37" s="79">
        <f t="shared" si="1"/>
        <v>0</v>
      </c>
      <c r="I37" s="82" t="s">
        <v>90</v>
      </c>
    </row>
    <row r="38" ht="15.75" customHeight="1">
      <c r="B38" s="79" t="s">
        <v>59</v>
      </c>
      <c r="C38" s="79">
        <v>50.0</v>
      </c>
      <c r="D38" s="79" t="s">
        <v>22</v>
      </c>
      <c r="E38" s="81" t="b">
        <v>0</v>
      </c>
      <c r="F38" s="81" t="b">
        <v>0</v>
      </c>
      <c r="G38" s="81" t="b">
        <v>0</v>
      </c>
      <c r="H38" s="79">
        <f t="shared" si="1"/>
        <v>0</v>
      </c>
      <c r="I38" s="82" t="s">
        <v>90</v>
      </c>
    </row>
    <row r="39" ht="15.75" customHeight="1">
      <c r="B39" s="79" t="s">
        <v>59</v>
      </c>
      <c r="C39" s="79">
        <v>50.0</v>
      </c>
      <c r="D39" s="79" t="s">
        <v>28</v>
      </c>
      <c r="E39" s="81" t="b">
        <v>0</v>
      </c>
      <c r="F39" s="81" t="b">
        <v>0</v>
      </c>
      <c r="G39" s="81" t="b">
        <v>0</v>
      </c>
      <c r="H39" s="79">
        <f t="shared" si="1"/>
        <v>0</v>
      </c>
      <c r="I39" s="82" t="s">
        <v>92</v>
      </c>
    </row>
    <row r="40" ht="15.75" customHeight="1">
      <c r="B40" s="79" t="s">
        <v>59</v>
      </c>
      <c r="C40" s="79">
        <v>50.0</v>
      </c>
      <c r="D40" s="79" t="s">
        <v>31</v>
      </c>
      <c r="E40" s="81" t="b">
        <v>0</v>
      </c>
      <c r="F40" s="81" t="b">
        <v>0</v>
      </c>
      <c r="G40" s="81" t="b">
        <v>0</v>
      </c>
      <c r="H40" s="79">
        <f t="shared" si="1"/>
        <v>0</v>
      </c>
      <c r="I40" s="82" t="s">
        <v>90</v>
      </c>
    </row>
    <row r="41" ht="15.75" customHeight="1">
      <c r="B41" s="83" t="s">
        <v>59</v>
      </c>
      <c r="C41" s="83">
        <v>100.0</v>
      </c>
      <c r="D41" s="83" t="s">
        <v>16</v>
      </c>
      <c r="E41" s="85" t="b">
        <v>1</v>
      </c>
      <c r="F41" s="85" t="b">
        <v>1</v>
      </c>
      <c r="G41" s="85" t="b">
        <v>1</v>
      </c>
      <c r="H41" s="93">
        <v>10.0</v>
      </c>
      <c r="I41" s="94"/>
    </row>
    <row r="42" ht="15.75" customHeight="1">
      <c r="B42" s="83" t="s">
        <v>59</v>
      </c>
      <c r="C42" s="83">
        <v>100.0</v>
      </c>
      <c r="D42" s="83" t="s">
        <v>19</v>
      </c>
      <c r="E42" s="85" t="b">
        <v>1</v>
      </c>
      <c r="F42" s="85" t="b">
        <v>1</v>
      </c>
      <c r="G42" s="85" t="b">
        <v>0</v>
      </c>
      <c r="H42" s="93">
        <v>10.0</v>
      </c>
      <c r="I42" s="87" t="s">
        <v>97</v>
      </c>
    </row>
    <row r="43" ht="15.75" customHeight="1">
      <c r="B43" s="83" t="s">
        <v>59</v>
      </c>
      <c r="C43" s="83">
        <v>100.0</v>
      </c>
      <c r="D43" s="83" t="s">
        <v>22</v>
      </c>
      <c r="E43" s="85" t="b">
        <v>0</v>
      </c>
      <c r="F43" s="85" t="b">
        <v>0</v>
      </c>
      <c r="G43" s="85" t="b">
        <v>0</v>
      </c>
      <c r="H43" s="83">
        <f t="shared" ref="H43:H45" si="2">(E43="TRUE")*2+(F43="TRUE")*4+(G43="TRUE")*4</f>
        <v>0</v>
      </c>
      <c r="I43" s="87" t="s">
        <v>101</v>
      </c>
    </row>
    <row r="44" ht="15.75" customHeight="1">
      <c r="B44" s="83" t="s">
        <v>59</v>
      </c>
      <c r="C44" s="83">
        <v>100.0</v>
      </c>
      <c r="D44" s="83" t="s">
        <v>28</v>
      </c>
      <c r="E44" s="85" t="b">
        <v>0</v>
      </c>
      <c r="F44" s="85" t="b">
        <v>0</v>
      </c>
      <c r="G44" s="85" t="b">
        <v>0</v>
      </c>
      <c r="H44" s="83">
        <f t="shared" si="2"/>
        <v>0</v>
      </c>
      <c r="I44" s="87" t="s">
        <v>103</v>
      </c>
    </row>
    <row r="45" ht="15.75" customHeight="1">
      <c r="B45" s="83" t="s">
        <v>59</v>
      </c>
      <c r="C45" s="83">
        <v>100.0</v>
      </c>
      <c r="D45" s="83" t="s">
        <v>31</v>
      </c>
      <c r="E45" s="85" t="b">
        <v>0</v>
      </c>
      <c r="F45" s="85" t="b">
        <v>0</v>
      </c>
      <c r="G45" s="85" t="b">
        <v>0</v>
      </c>
      <c r="H45" s="83">
        <f t="shared" si="2"/>
        <v>0</v>
      </c>
      <c r="I45" s="87" t="s">
        <v>105</v>
      </c>
    </row>
    <row r="46" ht="15.75" customHeight="1">
      <c r="B46" s="89" t="s">
        <v>59</v>
      </c>
      <c r="C46" s="90">
        <v>200.0</v>
      </c>
      <c r="D46" s="89" t="s">
        <v>16</v>
      </c>
      <c r="E46" s="91" t="b">
        <v>1</v>
      </c>
      <c r="F46" s="91" t="b">
        <v>1</v>
      </c>
      <c r="G46" s="91" t="b">
        <v>1</v>
      </c>
      <c r="H46" s="90">
        <v>10.0</v>
      </c>
      <c r="I46" s="100"/>
    </row>
    <row r="47" ht="15.75" customHeight="1">
      <c r="B47" s="89" t="s">
        <v>59</v>
      </c>
      <c r="C47" s="90">
        <v>200.0</v>
      </c>
      <c r="D47" s="89" t="s">
        <v>19</v>
      </c>
      <c r="E47" s="91" t="b">
        <v>1</v>
      </c>
      <c r="F47" s="91" t="b">
        <v>1</v>
      </c>
      <c r="G47" s="91" t="b">
        <v>1</v>
      </c>
      <c r="H47" s="90">
        <v>10.0</v>
      </c>
      <c r="I47" s="92" t="s">
        <v>108</v>
      </c>
    </row>
    <row r="48" ht="15.75" customHeight="1">
      <c r="B48" s="89" t="s">
        <v>59</v>
      </c>
      <c r="C48" s="90">
        <v>200.0</v>
      </c>
      <c r="D48" s="89" t="s">
        <v>22</v>
      </c>
      <c r="E48" s="91" t="b">
        <v>1</v>
      </c>
      <c r="F48" s="91" t="b">
        <v>1</v>
      </c>
      <c r="G48" s="91" t="b">
        <v>1</v>
      </c>
      <c r="H48" s="90">
        <v>10.0</v>
      </c>
      <c r="I48" s="100"/>
    </row>
    <row r="49" ht="15.75" customHeight="1">
      <c r="B49" s="89" t="s">
        <v>59</v>
      </c>
      <c r="C49" s="90">
        <v>200.0</v>
      </c>
      <c r="D49" s="89" t="s">
        <v>28</v>
      </c>
      <c r="E49" s="91" t="b">
        <v>1</v>
      </c>
      <c r="F49" s="91" t="b">
        <v>1</v>
      </c>
      <c r="G49" s="91" t="b">
        <v>1</v>
      </c>
      <c r="H49" s="90">
        <v>10.0</v>
      </c>
      <c r="I49" s="100"/>
    </row>
    <row r="50" ht="15.75" customHeight="1">
      <c r="B50" s="89" t="s">
        <v>59</v>
      </c>
      <c r="C50" s="90">
        <v>200.0</v>
      </c>
      <c r="D50" s="89" t="s">
        <v>31</v>
      </c>
      <c r="E50" s="91" t="b">
        <v>1</v>
      </c>
      <c r="F50" s="91" t="b">
        <v>1</v>
      </c>
      <c r="G50" s="91" t="b">
        <v>1</v>
      </c>
      <c r="H50" s="90">
        <v>10.0</v>
      </c>
      <c r="I50" s="100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I2"/>
    <mergeCell ref="B3:I3"/>
  </mergeCells>
  <dataValidations>
    <dataValidation type="list" allowBlank="1" sqref="E6:G50">
      <formula1>"TRUE,FALSE"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16.0"/>
    <col customWidth="1" min="4" max="4" width="12.0"/>
    <col customWidth="1" min="5" max="5" width="20.0"/>
    <col customWidth="1" min="6" max="6" width="12.0"/>
    <col customWidth="1" min="7" max="7" width="16.0"/>
    <col customWidth="1" min="8" max="8" width="14.0"/>
    <col customWidth="1" min="9" max="9" width="78.29"/>
  </cols>
  <sheetData>
    <row r="1">
      <c r="A1" s="1"/>
    </row>
    <row r="2" ht="27.75" customHeight="1">
      <c r="B2" s="4" t="s">
        <v>2</v>
      </c>
      <c r="C2" s="3"/>
      <c r="D2" s="3"/>
      <c r="E2" s="3"/>
      <c r="F2" s="3"/>
      <c r="G2" s="3"/>
      <c r="H2" s="3"/>
      <c r="I2" s="5"/>
    </row>
    <row r="3" ht="15.0" customHeight="1">
      <c r="B3" s="7" t="s">
        <v>4</v>
      </c>
    </row>
    <row r="5" ht="27.75" customHeight="1">
      <c r="B5" s="9" t="s">
        <v>6</v>
      </c>
      <c r="C5" s="9" t="s">
        <v>7</v>
      </c>
      <c r="D5" s="9" t="s">
        <v>8</v>
      </c>
      <c r="E5" s="12" t="s">
        <v>9</v>
      </c>
      <c r="F5" s="9" t="s">
        <v>10</v>
      </c>
      <c r="G5" s="9" t="s">
        <v>12</v>
      </c>
      <c r="H5" s="9" t="s">
        <v>13</v>
      </c>
      <c r="I5" s="9" t="s">
        <v>14</v>
      </c>
    </row>
    <row r="6" ht="15.75" customHeight="1">
      <c r="B6" s="15" t="s">
        <v>15</v>
      </c>
      <c r="C6" s="15">
        <v>50.0</v>
      </c>
      <c r="D6" s="15" t="s">
        <v>16</v>
      </c>
      <c r="E6" s="17" t="b">
        <v>0</v>
      </c>
      <c r="F6" s="17" t="b">
        <v>0</v>
      </c>
      <c r="G6" s="17" t="b">
        <v>0</v>
      </c>
      <c r="H6" s="15">
        <f>(E6="TRUE")*2+(F6="TRUE")*4+(G6="TRUE")*4</f>
        <v>0</v>
      </c>
      <c r="I6" s="26" t="s">
        <v>25</v>
      </c>
    </row>
    <row r="7" ht="15.75" customHeight="1">
      <c r="B7" s="15" t="s">
        <v>15</v>
      </c>
      <c r="C7" s="15">
        <v>50.0</v>
      </c>
      <c r="D7" s="15" t="s">
        <v>19</v>
      </c>
      <c r="E7" s="17" t="b">
        <v>0</v>
      </c>
      <c r="F7" s="17" t="b">
        <v>1</v>
      </c>
      <c r="G7" s="17" t="b">
        <v>0</v>
      </c>
      <c r="H7" s="28">
        <v>4.0</v>
      </c>
      <c r="I7" s="26" t="s">
        <v>30</v>
      </c>
    </row>
    <row r="8" ht="15.75" customHeight="1">
      <c r="B8" s="15" t="s">
        <v>15</v>
      </c>
      <c r="C8" s="15">
        <v>50.0</v>
      </c>
      <c r="D8" s="15" t="s">
        <v>22</v>
      </c>
      <c r="E8" s="17" t="b">
        <v>0</v>
      </c>
      <c r="F8" s="17" t="b">
        <v>1</v>
      </c>
      <c r="G8" s="17" t="b">
        <v>0</v>
      </c>
      <c r="H8" s="28">
        <v>4.0</v>
      </c>
      <c r="I8" s="26" t="s">
        <v>33</v>
      </c>
    </row>
    <row r="9" ht="15.75" customHeight="1">
      <c r="B9" s="15" t="s">
        <v>15</v>
      </c>
      <c r="C9" s="15">
        <v>50.0</v>
      </c>
      <c r="D9" s="15" t="s">
        <v>28</v>
      </c>
      <c r="E9" s="17" t="b">
        <v>0</v>
      </c>
      <c r="F9" s="17" t="b">
        <v>0</v>
      </c>
      <c r="G9" s="17" t="b">
        <v>0</v>
      </c>
      <c r="H9" s="15">
        <f t="shared" ref="H9:H10" si="1">(E9="TRUE")*2+(F9="TRUE")*4+(G9="TRUE")*4</f>
        <v>0</v>
      </c>
      <c r="I9" s="26" t="s">
        <v>25</v>
      </c>
    </row>
    <row r="10" ht="15.75" customHeight="1">
      <c r="B10" s="15" t="s">
        <v>15</v>
      </c>
      <c r="C10" s="15">
        <v>50.0</v>
      </c>
      <c r="D10" s="15" t="s">
        <v>31</v>
      </c>
      <c r="E10" s="17" t="b">
        <v>0</v>
      </c>
      <c r="F10" s="17" t="b">
        <v>0</v>
      </c>
      <c r="G10" s="17" t="b">
        <v>0</v>
      </c>
      <c r="H10" s="15">
        <f t="shared" si="1"/>
        <v>0</v>
      </c>
      <c r="I10" s="26" t="s">
        <v>25</v>
      </c>
    </row>
    <row r="11" ht="15.75" customHeight="1">
      <c r="B11" s="36" t="s">
        <v>15</v>
      </c>
      <c r="C11" s="36">
        <v>100.0</v>
      </c>
      <c r="D11" s="36" t="s">
        <v>16</v>
      </c>
      <c r="E11" s="37" t="b">
        <v>0</v>
      </c>
      <c r="F11" s="37" t="b">
        <v>1</v>
      </c>
      <c r="G11" s="37" t="b">
        <v>0</v>
      </c>
      <c r="H11" s="38">
        <v>4.0</v>
      </c>
      <c r="I11" s="39" t="s">
        <v>41</v>
      </c>
    </row>
    <row r="12" ht="15.75" customHeight="1">
      <c r="B12" s="36" t="s">
        <v>15</v>
      </c>
      <c r="C12" s="36">
        <v>100.0</v>
      </c>
      <c r="D12" s="36" t="s">
        <v>19</v>
      </c>
      <c r="E12" s="37" t="b">
        <v>0</v>
      </c>
      <c r="F12" s="37" t="b">
        <v>0</v>
      </c>
      <c r="G12" s="37" t="b">
        <v>0</v>
      </c>
      <c r="H12" s="36">
        <f t="shared" ref="H12:H16" si="2">(E12="TRUE")*2+(F12="TRUE")*4+(G12="TRUE")*4</f>
        <v>0</v>
      </c>
      <c r="I12" s="39" t="s">
        <v>46</v>
      </c>
    </row>
    <row r="13" ht="15.75" customHeight="1">
      <c r="B13" s="36" t="s">
        <v>15</v>
      </c>
      <c r="C13" s="36">
        <v>100.0</v>
      </c>
      <c r="D13" s="36" t="s">
        <v>22</v>
      </c>
      <c r="E13" s="37" t="b">
        <v>0</v>
      </c>
      <c r="F13" s="37" t="b">
        <v>0</v>
      </c>
      <c r="G13" s="37" t="b">
        <v>0</v>
      </c>
      <c r="H13" s="36">
        <f t="shared" si="2"/>
        <v>0</v>
      </c>
      <c r="I13" s="39" t="s">
        <v>47</v>
      </c>
    </row>
    <row r="14" ht="15.75" customHeight="1">
      <c r="B14" s="36" t="s">
        <v>15</v>
      </c>
      <c r="C14" s="36">
        <v>100.0</v>
      </c>
      <c r="D14" s="36" t="s">
        <v>28</v>
      </c>
      <c r="E14" s="37" t="b">
        <v>0</v>
      </c>
      <c r="F14" s="37" t="b">
        <v>0</v>
      </c>
      <c r="G14" s="37" t="b">
        <v>0</v>
      </c>
      <c r="H14" s="36">
        <f t="shared" si="2"/>
        <v>0</v>
      </c>
      <c r="I14" s="39" t="s">
        <v>48</v>
      </c>
    </row>
    <row r="15" ht="15.75" customHeight="1">
      <c r="B15" s="36" t="s">
        <v>15</v>
      </c>
      <c r="C15" s="36">
        <v>100.0</v>
      </c>
      <c r="D15" s="36" t="s">
        <v>31</v>
      </c>
      <c r="E15" s="37" t="b">
        <v>0</v>
      </c>
      <c r="F15" s="37" t="b">
        <v>0</v>
      </c>
      <c r="G15" s="37" t="b">
        <v>0</v>
      </c>
      <c r="H15" s="36">
        <f t="shared" si="2"/>
        <v>0</v>
      </c>
      <c r="I15" s="39" t="s">
        <v>49</v>
      </c>
    </row>
    <row r="16" ht="15.75" customHeight="1">
      <c r="B16" s="47" t="s">
        <v>15</v>
      </c>
      <c r="C16" s="48">
        <v>200.0</v>
      </c>
      <c r="D16" s="47" t="s">
        <v>16</v>
      </c>
      <c r="E16" s="49" t="b">
        <v>0</v>
      </c>
      <c r="F16" s="49" t="b">
        <v>0</v>
      </c>
      <c r="G16" s="49" t="b">
        <v>0</v>
      </c>
      <c r="H16" s="47">
        <f t="shared" si="2"/>
        <v>0</v>
      </c>
      <c r="I16" s="51" t="s">
        <v>50</v>
      </c>
    </row>
    <row r="17" ht="15.75" customHeight="1">
      <c r="B17" s="47" t="s">
        <v>15</v>
      </c>
      <c r="C17" s="48">
        <v>200.0</v>
      </c>
      <c r="D17" s="47" t="s">
        <v>19</v>
      </c>
      <c r="E17" s="49" t="b">
        <v>1</v>
      </c>
      <c r="F17" s="49" t="b">
        <v>1</v>
      </c>
      <c r="G17" s="49" t="b">
        <v>0</v>
      </c>
      <c r="H17" s="48">
        <v>6.0</v>
      </c>
      <c r="I17" s="51" t="s">
        <v>52</v>
      </c>
    </row>
    <row r="18" ht="15.75" customHeight="1">
      <c r="B18" s="47" t="s">
        <v>15</v>
      </c>
      <c r="C18" s="48">
        <v>200.0</v>
      </c>
      <c r="D18" s="47" t="s">
        <v>22</v>
      </c>
      <c r="E18" s="49" t="b">
        <v>1</v>
      </c>
      <c r="F18" s="49" t="b">
        <v>1</v>
      </c>
      <c r="G18" s="49" t="b">
        <v>1</v>
      </c>
      <c r="H18" s="48">
        <v>10.0</v>
      </c>
      <c r="I18" s="51" t="s">
        <v>55</v>
      </c>
    </row>
    <row r="19" ht="15.75" customHeight="1">
      <c r="B19" s="47" t="s">
        <v>15</v>
      </c>
      <c r="C19" s="48">
        <v>200.0</v>
      </c>
      <c r="D19" s="47" t="s">
        <v>28</v>
      </c>
      <c r="E19" s="49" t="b">
        <v>1</v>
      </c>
      <c r="F19" s="49" t="b">
        <v>1</v>
      </c>
      <c r="G19" s="49" t="b">
        <v>1</v>
      </c>
      <c r="H19" s="48">
        <v>10.0</v>
      </c>
      <c r="I19" s="51" t="s">
        <v>56</v>
      </c>
    </row>
    <row r="20" ht="15.75" customHeight="1">
      <c r="B20" s="47" t="s">
        <v>15</v>
      </c>
      <c r="C20" s="48">
        <v>200.0</v>
      </c>
      <c r="D20" s="47" t="s">
        <v>31</v>
      </c>
      <c r="E20" s="49" t="b">
        <v>1</v>
      </c>
      <c r="F20" s="49" t="b">
        <v>1</v>
      </c>
      <c r="G20" s="49" t="b">
        <v>0</v>
      </c>
      <c r="H20" s="48">
        <v>6.0</v>
      </c>
      <c r="I20" s="51" t="s">
        <v>57</v>
      </c>
    </row>
    <row r="21" ht="15.75" customHeight="1">
      <c r="B21" s="58" t="s">
        <v>51</v>
      </c>
      <c r="C21" s="58">
        <v>50.0</v>
      </c>
      <c r="D21" s="58" t="s">
        <v>16</v>
      </c>
      <c r="E21" s="59" t="b">
        <v>0</v>
      </c>
      <c r="F21" s="59" t="b">
        <v>0</v>
      </c>
      <c r="G21" s="59" t="b">
        <v>0</v>
      </c>
      <c r="H21" s="58">
        <f t="shared" ref="H21:H28" si="3">(E21="TRUE")*2+(F21="TRUE")*4+(G21="TRUE")*4</f>
        <v>0</v>
      </c>
      <c r="I21" s="61" t="s">
        <v>60</v>
      </c>
    </row>
    <row r="22" ht="15.75" customHeight="1">
      <c r="B22" s="58" t="s">
        <v>51</v>
      </c>
      <c r="C22" s="58">
        <v>50.0</v>
      </c>
      <c r="D22" s="58" t="s">
        <v>19</v>
      </c>
      <c r="E22" s="59" t="b">
        <v>0</v>
      </c>
      <c r="F22" s="59" t="b">
        <v>0</v>
      </c>
      <c r="G22" s="59" t="b">
        <v>0</v>
      </c>
      <c r="H22" s="58">
        <f t="shared" si="3"/>
        <v>0</v>
      </c>
      <c r="I22" s="61" t="s">
        <v>64</v>
      </c>
    </row>
    <row r="23" ht="15.75" customHeight="1">
      <c r="B23" s="58" t="s">
        <v>51</v>
      </c>
      <c r="C23" s="58">
        <v>50.0</v>
      </c>
      <c r="D23" s="58" t="s">
        <v>22</v>
      </c>
      <c r="E23" s="59" t="b">
        <v>0</v>
      </c>
      <c r="F23" s="59" t="b">
        <v>0</v>
      </c>
      <c r="G23" s="59" t="b">
        <v>0</v>
      </c>
      <c r="H23" s="58">
        <f t="shared" si="3"/>
        <v>0</v>
      </c>
      <c r="I23" s="61" t="s">
        <v>66</v>
      </c>
    </row>
    <row r="24" ht="15.75" customHeight="1">
      <c r="B24" s="58" t="s">
        <v>51</v>
      </c>
      <c r="C24" s="58">
        <v>50.0</v>
      </c>
      <c r="D24" s="58" t="s">
        <v>28</v>
      </c>
      <c r="E24" s="59" t="b">
        <v>0</v>
      </c>
      <c r="F24" s="59" t="b">
        <v>0</v>
      </c>
      <c r="G24" s="59" t="b">
        <v>0</v>
      </c>
      <c r="H24" s="58">
        <f t="shared" si="3"/>
        <v>0</v>
      </c>
      <c r="I24" s="61" t="s">
        <v>68</v>
      </c>
    </row>
    <row r="25" ht="15.75" customHeight="1">
      <c r="B25" s="58" t="s">
        <v>51</v>
      </c>
      <c r="C25" s="58">
        <v>50.0</v>
      </c>
      <c r="D25" s="58" t="s">
        <v>31</v>
      </c>
      <c r="E25" s="59" t="b">
        <v>0</v>
      </c>
      <c r="F25" s="59" t="b">
        <v>0</v>
      </c>
      <c r="G25" s="59" t="b">
        <v>0</v>
      </c>
      <c r="H25" s="58">
        <f t="shared" si="3"/>
        <v>0</v>
      </c>
      <c r="I25" s="61" t="s">
        <v>70</v>
      </c>
    </row>
    <row r="26" ht="15.75" customHeight="1">
      <c r="B26" s="52" t="s">
        <v>51</v>
      </c>
      <c r="C26" s="52">
        <v>100.0</v>
      </c>
      <c r="D26" s="52" t="s">
        <v>16</v>
      </c>
      <c r="E26" s="67" t="b">
        <v>0</v>
      </c>
      <c r="F26" s="67" t="b">
        <v>0</v>
      </c>
      <c r="G26" s="67" t="b">
        <v>0</v>
      </c>
      <c r="H26" s="52">
        <f t="shared" si="3"/>
        <v>0</v>
      </c>
      <c r="I26" s="68" t="s">
        <v>72</v>
      </c>
    </row>
    <row r="27" ht="15.75" customHeight="1">
      <c r="B27" s="52" t="s">
        <v>51</v>
      </c>
      <c r="C27" s="52">
        <v>100.0</v>
      </c>
      <c r="D27" s="52" t="s">
        <v>19</v>
      </c>
      <c r="E27" s="67" t="b">
        <v>0</v>
      </c>
      <c r="F27" s="67" t="b">
        <v>0</v>
      </c>
      <c r="G27" s="67" t="b">
        <v>0</v>
      </c>
      <c r="H27" s="52">
        <f t="shared" si="3"/>
        <v>0</v>
      </c>
      <c r="I27" s="68" t="s">
        <v>74</v>
      </c>
    </row>
    <row r="28" ht="15.75" customHeight="1">
      <c r="B28" s="52" t="s">
        <v>51</v>
      </c>
      <c r="C28" s="52">
        <v>100.0</v>
      </c>
      <c r="D28" s="52" t="s">
        <v>22</v>
      </c>
      <c r="E28" s="67" t="b">
        <v>0</v>
      </c>
      <c r="F28" s="67" t="b">
        <v>0</v>
      </c>
      <c r="G28" s="67" t="b">
        <v>0</v>
      </c>
      <c r="H28" s="52">
        <f t="shared" si="3"/>
        <v>0</v>
      </c>
      <c r="I28" s="68" t="s">
        <v>76</v>
      </c>
    </row>
    <row r="29" ht="15.75" customHeight="1">
      <c r="B29" s="52" t="s">
        <v>51</v>
      </c>
      <c r="C29" s="52">
        <v>100.0</v>
      </c>
      <c r="D29" s="52" t="s">
        <v>28</v>
      </c>
      <c r="E29" s="67" t="b">
        <v>0</v>
      </c>
      <c r="F29" s="67" t="b">
        <v>1</v>
      </c>
      <c r="G29" s="67" t="b">
        <v>0</v>
      </c>
      <c r="H29" s="73">
        <v>4.0</v>
      </c>
      <c r="I29" s="68" t="s">
        <v>79</v>
      </c>
    </row>
    <row r="30" ht="15.75" customHeight="1">
      <c r="B30" s="52" t="s">
        <v>51</v>
      </c>
      <c r="C30" s="52">
        <v>100.0</v>
      </c>
      <c r="D30" s="52" t="s">
        <v>31</v>
      </c>
      <c r="E30" s="67" t="b">
        <v>0</v>
      </c>
      <c r="F30" s="67" t="b">
        <v>1</v>
      </c>
      <c r="G30" s="67" t="b">
        <v>0</v>
      </c>
      <c r="H30" s="73">
        <v>4.0</v>
      </c>
      <c r="I30" s="68" t="s">
        <v>81</v>
      </c>
    </row>
    <row r="31" ht="15.75" customHeight="1">
      <c r="B31" s="74" t="s">
        <v>51</v>
      </c>
      <c r="C31" s="75">
        <v>200.0</v>
      </c>
      <c r="D31" s="74" t="s">
        <v>16</v>
      </c>
      <c r="E31" s="76" t="b">
        <v>1</v>
      </c>
      <c r="F31" s="76" t="b">
        <v>1</v>
      </c>
      <c r="G31" s="76" t="b">
        <v>0</v>
      </c>
      <c r="H31" s="75">
        <v>6.0</v>
      </c>
      <c r="I31" s="78" t="s">
        <v>83</v>
      </c>
    </row>
    <row r="32" ht="15.75" customHeight="1">
      <c r="B32" s="74" t="s">
        <v>51</v>
      </c>
      <c r="C32" s="75">
        <v>200.0</v>
      </c>
      <c r="D32" s="74" t="s">
        <v>19</v>
      </c>
      <c r="E32" s="76" t="b">
        <v>1</v>
      </c>
      <c r="F32" s="76" t="b">
        <v>1</v>
      </c>
      <c r="G32" s="76" t="b">
        <v>1</v>
      </c>
      <c r="H32" s="75">
        <v>10.0</v>
      </c>
      <c r="I32" s="80"/>
    </row>
    <row r="33" ht="15.75" customHeight="1">
      <c r="B33" s="74" t="s">
        <v>51</v>
      </c>
      <c r="C33" s="75">
        <v>200.0</v>
      </c>
      <c r="D33" s="74" t="s">
        <v>22</v>
      </c>
      <c r="E33" s="76" t="b">
        <v>1</v>
      </c>
      <c r="F33" s="76" t="b">
        <v>1</v>
      </c>
      <c r="G33" s="76" t="b">
        <v>0</v>
      </c>
      <c r="H33" s="75">
        <v>6.0</v>
      </c>
      <c r="I33" s="78" t="s">
        <v>85</v>
      </c>
    </row>
    <row r="34" ht="15.75" customHeight="1">
      <c r="B34" s="74" t="s">
        <v>51</v>
      </c>
      <c r="C34" s="75">
        <v>200.0</v>
      </c>
      <c r="D34" s="74" t="s">
        <v>28</v>
      </c>
      <c r="E34" s="76" t="b">
        <v>0</v>
      </c>
      <c r="F34" s="76" t="b">
        <v>0</v>
      </c>
      <c r="G34" s="76" t="b">
        <v>0</v>
      </c>
      <c r="H34" s="74">
        <f>(E34="TRUE")*2+(F34="TRUE")*4+(G34="TRUE")*4</f>
        <v>0</v>
      </c>
      <c r="I34" s="78" t="s">
        <v>64</v>
      </c>
    </row>
    <row r="35" ht="15.75" customHeight="1">
      <c r="B35" s="74" t="s">
        <v>51</v>
      </c>
      <c r="C35" s="75">
        <v>200.0</v>
      </c>
      <c r="D35" s="74" t="s">
        <v>31</v>
      </c>
      <c r="E35" s="76" t="b">
        <v>0</v>
      </c>
      <c r="F35" s="76" t="b">
        <v>1</v>
      </c>
      <c r="G35" s="76" t="b">
        <v>0</v>
      </c>
      <c r="H35" s="75">
        <v>6.0</v>
      </c>
      <c r="I35" s="78" t="s">
        <v>86</v>
      </c>
    </row>
    <row r="36" ht="15.75" customHeight="1">
      <c r="B36" s="84" t="s">
        <v>59</v>
      </c>
      <c r="C36" s="84">
        <v>50.0</v>
      </c>
      <c r="D36" s="84" t="s">
        <v>16</v>
      </c>
      <c r="E36" s="86" t="b">
        <v>0</v>
      </c>
      <c r="F36" s="86" t="b">
        <v>0</v>
      </c>
      <c r="G36" s="86" t="b">
        <v>0</v>
      </c>
      <c r="H36" s="84">
        <f t="shared" ref="H36:H45" si="4">(E36="TRUE")*2+(F36="TRUE")*4+(G36="TRUE")*4</f>
        <v>0</v>
      </c>
      <c r="I36" s="88" t="s">
        <v>89</v>
      </c>
    </row>
    <row r="37" ht="15.75" customHeight="1">
      <c r="B37" s="84" t="s">
        <v>59</v>
      </c>
      <c r="C37" s="84">
        <v>50.0</v>
      </c>
      <c r="D37" s="84" t="s">
        <v>19</v>
      </c>
      <c r="E37" s="86" t="b">
        <v>0</v>
      </c>
      <c r="F37" s="86" t="b">
        <v>0</v>
      </c>
      <c r="G37" s="86" t="b">
        <v>0</v>
      </c>
      <c r="H37" s="84">
        <f t="shared" si="4"/>
        <v>0</v>
      </c>
      <c r="I37" s="88" t="s">
        <v>91</v>
      </c>
    </row>
    <row r="38" ht="15.75" customHeight="1">
      <c r="B38" s="84" t="s">
        <v>59</v>
      </c>
      <c r="C38" s="84">
        <v>50.0</v>
      </c>
      <c r="D38" s="84" t="s">
        <v>22</v>
      </c>
      <c r="E38" s="86" t="b">
        <v>0</v>
      </c>
      <c r="F38" s="86" t="b">
        <v>0</v>
      </c>
      <c r="G38" s="86" t="b">
        <v>0</v>
      </c>
      <c r="H38" s="84">
        <f t="shared" si="4"/>
        <v>0</v>
      </c>
      <c r="I38" s="88" t="s">
        <v>93</v>
      </c>
    </row>
    <row r="39" ht="15.75" customHeight="1">
      <c r="B39" s="84" t="s">
        <v>59</v>
      </c>
      <c r="C39" s="84">
        <v>50.0</v>
      </c>
      <c r="D39" s="84" t="s">
        <v>28</v>
      </c>
      <c r="E39" s="86" t="b">
        <v>0</v>
      </c>
      <c r="F39" s="86" t="b">
        <v>0</v>
      </c>
      <c r="G39" s="86" t="b">
        <v>0</v>
      </c>
      <c r="H39" s="84">
        <f t="shared" si="4"/>
        <v>0</v>
      </c>
      <c r="I39" s="88" t="s">
        <v>95</v>
      </c>
    </row>
    <row r="40" ht="15.75" customHeight="1">
      <c r="B40" s="84" t="s">
        <v>59</v>
      </c>
      <c r="C40" s="84">
        <v>50.0</v>
      </c>
      <c r="D40" s="84" t="s">
        <v>31</v>
      </c>
      <c r="E40" s="86" t="b">
        <v>0</v>
      </c>
      <c r="F40" s="86" t="b">
        <v>0</v>
      </c>
      <c r="G40" s="86" t="b">
        <v>0</v>
      </c>
      <c r="H40" s="84">
        <f t="shared" si="4"/>
        <v>0</v>
      </c>
      <c r="I40" s="88" t="s">
        <v>96</v>
      </c>
    </row>
    <row r="41" ht="15.75" customHeight="1">
      <c r="B41" s="60" t="s">
        <v>59</v>
      </c>
      <c r="C41" s="60">
        <v>100.0</v>
      </c>
      <c r="D41" s="60" t="s">
        <v>16</v>
      </c>
      <c r="E41" s="96" t="b">
        <v>0</v>
      </c>
      <c r="F41" s="96" t="b">
        <v>0</v>
      </c>
      <c r="G41" s="96" t="b">
        <v>0</v>
      </c>
      <c r="H41" s="60">
        <f t="shared" si="4"/>
        <v>0</v>
      </c>
      <c r="I41" s="98" t="s">
        <v>98</v>
      </c>
    </row>
    <row r="42" ht="15.75" customHeight="1">
      <c r="B42" s="60" t="s">
        <v>59</v>
      </c>
      <c r="C42" s="60">
        <v>100.0</v>
      </c>
      <c r="D42" s="60" t="s">
        <v>19</v>
      </c>
      <c r="E42" s="96" t="b">
        <v>0</v>
      </c>
      <c r="F42" s="96" t="b">
        <v>0</v>
      </c>
      <c r="G42" s="96" t="b">
        <v>0</v>
      </c>
      <c r="H42" s="60">
        <f t="shared" si="4"/>
        <v>0</v>
      </c>
      <c r="I42" s="98" t="s">
        <v>100</v>
      </c>
    </row>
    <row r="43" ht="15.75" customHeight="1">
      <c r="B43" s="60" t="s">
        <v>59</v>
      </c>
      <c r="C43" s="60">
        <v>100.0</v>
      </c>
      <c r="D43" s="60" t="s">
        <v>22</v>
      </c>
      <c r="E43" s="96" t="b">
        <v>0</v>
      </c>
      <c r="F43" s="96" t="b">
        <v>0</v>
      </c>
      <c r="G43" s="96" t="b">
        <v>0</v>
      </c>
      <c r="H43" s="60">
        <f t="shared" si="4"/>
        <v>0</v>
      </c>
      <c r="I43" s="98" t="s">
        <v>102</v>
      </c>
    </row>
    <row r="44" ht="15.75" customHeight="1">
      <c r="B44" s="60" t="s">
        <v>59</v>
      </c>
      <c r="C44" s="60">
        <v>100.0</v>
      </c>
      <c r="D44" s="60" t="s">
        <v>28</v>
      </c>
      <c r="E44" s="96" t="b">
        <v>0</v>
      </c>
      <c r="F44" s="96" t="b">
        <v>0</v>
      </c>
      <c r="G44" s="96" t="b">
        <v>0</v>
      </c>
      <c r="H44" s="60">
        <f t="shared" si="4"/>
        <v>0</v>
      </c>
      <c r="I44" s="98" t="s">
        <v>104</v>
      </c>
    </row>
    <row r="45" ht="15.75" customHeight="1">
      <c r="B45" s="60" t="s">
        <v>59</v>
      </c>
      <c r="C45" s="60">
        <v>100.0</v>
      </c>
      <c r="D45" s="60" t="s">
        <v>31</v>
      </c>
      <c r="E45" s="96" t="b">
        <v>0</v>
      </c>
      <c r="F45" s="96" t="b">
        <v>0</v>
      </c>
      <c r="G45" s="96" t="b">
        <v>0</v>
      </c>
      <c r="H45" s="60">
        <f t="shared" si="4"/>
        <v>0</v>
      </c>
      <c r="I45" s="98" t="s">
        <v>106</v>
      </c>
    </row>
    <row r="46" ht="15.75" customHeight="1">
      <c r="B46" s="99" t="s">
        <v>59</v>
      </c>
      <c r="C46" s="101">
        <v>200.0</v>
      </c>
      <c r="D46" s="99" t="s">
        <v>16</v>
      </c>
      <c r="E46" s="102" t="b">
        <v>0</v>
      </c>
      <c r="F46" s="102" t="b">
        <v>1</v>
      </c>
      <c r="G46" s="102" t="b">
        <v>0</v>
      </c>
      <c r="H46" s="101">
        <v>4.0</v>
      </c>
      <c r="I46" s="103" t="s">
        <v>107</v>
      </c>
    </row>
    <row r="47" ht="15.75" customHeight="1">
      <c r="B47" s="99" t="s">
        <v>59</v>
      </c>
      <c r="C47" s="101">
        <v>200.0</v>
      </c>
      <c r="D47" s="99" t="s">
        <v>19</v>
      </c>
      <c r="E47" s="102" t="b">
        <v>0</v>
      </c>
      <c r="F47" s="102" t="b">
        <v>0</v>
      </c>
      <c r="G47" s="102" t="b">
        <v>0</v>
      </c>
      <c r="H47" s="99">
        <f t="shared" ref="H47:H48" si="5">(E47="TRUE")*2+(F47="TRUE")*4+(G47="TRUE")*4</f>
        <v>0</v>
      </c>
      <c r="I47" s="103" t="s">
        <v>109</v>
      </c>
    </row>
    <row r="48" ht="15.75" customHeight="1">
      <c r="B48" s="99" t="s">
        <v>59</v>
      </c>
      <c r="C48" s="101">
        <v>200.0</v>
      </c>
      <c r="D48" s="99" t="s">
        <v>22</v>
      </c>
      <c r="E48" s="102" t="b">
        <v>0</v>
      </c>
      <c r="F48" s="102" t="b">
        <v>0</v>
      </c>
      <c r="G48" s="102" t="b">
        <v>0</v>
      </c>
      <c r="H48" s="99">
        <f t="shared" si="5"/>
        <v>0</v>
      </c>
      <c r="I48" s="103" t="s">
        <v>109</v>
      </c>
    </row>
    <row r="49" ht="15.75" customHeight="1">
      <c r="B49" s="99" t="s">
        <v>59</v>
      </c>
      <c r="C49" s="101">
        <v>200.0</v>
      </c>
      <c r="D49" s="99" t="s">
        <v>28</v>
      </c>
      <c r="E49" s="102" t="b">
        <v>0</v>
      </c>
      <c r="F49" s="102" t="b">
        <v>1</v>
      </c>
      <c r="G49" s="102" t="b">
        <v>0</v>
      </c>
      <c r="H49" s="101">
        <v>4.0</v>
      </c>
      <c r="I49" s="103" t="s">
        <v>110</v>
      </c>
    </row>
    <row r="50" ht="15.75" customHeight="1">
      <c r="B50" s="99" t="s">
        <v>59</v>
      </c>
      <c r="C50" s="101">
        <v>200.0</v>
      </c>
      <c r="D50" s="99" t="s">
        <v>31</v>
      </c>
      <c r="E50" s="102" t="b">
        <v>0</v>
      </c>
      <c r="F50" s="102" t="b">
        <v>0</v>
      </c>
      <c r="G50" s="102" t="b">
        <v>0</v>
      </c>
      <c r="H50" s="99">
        <f>(E50="TRUE")*2+(F50="TRUE")*4+(G50="TRUE")*4</f>
        <v>0</v>
      </c>
      <c r="I50" s="103" t="s">
        <v>111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I2"/>
    <mergeCell ref="B3:I3"/>
  </mergeCells>
  <dataValidations>
    <dataValidation type="list" allowBlank="1" sqref="E6:G50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2026-04-20T04:24:02Z</dcterms:created>
  <dc:creator>openpyxl</dc:creator>
</cp:coreProperties>
</file>